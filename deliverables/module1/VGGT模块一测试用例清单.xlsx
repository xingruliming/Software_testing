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r="http://schemas.openxmlformats.org/officeDocument/2006/relationships" xmlns="http://schemas.openxmlformats.org/spreadsheetml/2006/main" xmlns:mc="http://schemas.openxmlformats.org/markup-compatibility/2006" mc:Ignorable="x15ac">
  <workbookPr codeName="ThisWorkbook"/>
  <x15ac:absPath url="E:\办公\研一\1软件实践\Software_testing\deliverables\module1\"/>
  <bookViews>
    <workbookView activeTab="0"/>
  </bookViews>
  <sheets>
    <sheet name="Information文档信息" sheetId="1" r:id="rId3"/>
    <sheet name="Test Cases测试用例" sheetId="2" r:id="rId4"/>
    <sheet name="Introduction使用说明" sheetId="3" r:id="rId5"/>
  </sheets>
  <definedNames>
    <definedName name="Result">'Test Cases测试用例'!$N$2:$N$5</definedName>
  </definedNames>
  <calcPr calcId="191029"/>
</workbook>
</file>

<file path=xl/sharedStrings.xml><?xml version="1.0" encoding="utf-8"?>
<sst xmlns="http://schemas.openxmlformats.org/spreadsheetml/2006/main" count="320" uniqueCount="320">
  <si>
    <t/>
  </si>
  <si>
    <t>模块一（教师已许可 AI 参与）</t>
  </si>
  <si>
    <t>课程作业</t>
  </si>
  <si>
    <t>VGGT 几何坐标转换模块</t>
  </si>
  <si>
    <t>【待填写：项目ID】</t>
  </si>
  <si>
    <t>【待填写：拟制人】</t>
  </si>
  <si>
    <t>【待填写：日期】</t>
  </si>
  <si>
    <t>【待填写：评审人】</t>
  </si>
  <si>
    <t>【待填写：批准人】</t>
  </si>
  <si>
    <t>模块一坐标转换测试用例共 32 条。教师已明确许可 AI 参与用例设计；实际结果与状态仍须执行后据实填写。</t>
  </si>
  <si>
    <t>2026.09.10</t>
  </si>
  <si>
    <t>0.10</t>
  </si>
  <si>
    <t>N/A</t>
  </si>
  <si>
    <t>建立待人工填写副本；未生成计分测试用例</t>
  </si>
  <si>
    <t>【待填写】</t>
  </si>
  <si>
    <t>0.20</t>
  </si>
  <si>
    <t>教师许可 AI 参与后，新增 32 条坐标转换测试用例</t>
  </si>
  <si>
    <t>xxx</t>
  </si>
  <si>
    <t>yyyy.mm.dd</t>
  </si>
  <si>
    <t>……</t>
  </si>
  <si>
    <t>Copy No.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</si>
  <si>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</si>
  <si>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</si>
  <si>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</si>
  <si>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</si>
  <si>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</si>
  <si>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</si>
  <si>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用例总个数</t>
  </si>
  <si>
    <t>是否自动用例</t>
  </si>
  <si>
    <t>是否新增修改用例</t>
  </si>
  <si>
    <t>M1-GEO-001</t>
  </si>
  <si>
    <t>depth_to_cam_coords_points</t>
  </si>
  <si>
    <t>单像素中心点反投影</t>
  </si>
  <si>
    <t>高</t>
  </si>
  <si>
    <t>可自动化</t>
  </si>
  <si>
    <t>新增</t>
  </si>
  <si>
    <t>已安装 NumPy、PyTorch；可导入 vggt.utils.geometry；使用 CPU 张量；浮点比较容差 atol=1e-6。</t>
  </si>
  <si>
    <t>depth_map=np.array([[2.0]]); intrinsic=np.array([[2,0,0],[0,4,0],[0,0,1]])</t>
  </si>
  <si>
    <t>1. 构造深度图和内参矩阵。
2. 调用 depth_to_cam_coords_points。
3. 检查形状、类型和坐标值。</t>
  </si>
  <si>
    <t>POK</t>
  </si>
  <si>
    <t>等价类：有效单像素输入</t>
  </si>
  <si>
    <t>OK</t>
  </si>
  <si>
    <t>M1-GEO-002</t>
  </si>
  <si>
    <t>主点位于右下角的 2×2 深度图</t>
  </si>
  <si>
    <t>depth_map=np.ones((2,2)); intrinsic=np.array([[1,0,1],[0,1,1],[0,0,1]])</t>
  </si>
  <si>
    <t>调用函数并逐像素比较返回的三维相机坐标。</t>
  </si>
  <si>
    <t>返回 [[[-1,-1,1],[0,-1,1]],[[-1,0,1],[0,0,1]]]，shape=(2,2,3)。</t>
  </si>
  <si>
    <t>边界值：图像四个边角</t>
  </si>
  <si>
    <t>M1-GEO-003</t>
  </si>
  <si>
    <t>全零深度图</t>
  </si>
  <si>
    <t>depth_map=np.zeros((2,3)); intrinsic=np.eye(3)</t>
  </si>
  <si>
    <t>调用函数，检查全部输出元素及输出形状。</t>
  </si>
  <si>
    <t>返回 shape=(2,3,3) 的 float32 数组，所有坐标均为 [0,0,0]。</t>
  </si>
  <si>
    <t>边界值：深度下界 0</t>
  </si>
  <si>
    <t>NG</t>
  </si>
  <si>
    <t>M1-GEO-004</t>
  </si>
  <si>
    <t>内参矩阵尺寸非法</t>
  </si>
  <si>
    <t>depth_map=np.ones((1,1)); intrinsic=np.eye(2)</t>
  </si>
  <si>
    <t>调用函数并捕获异常。</t>
  </si>
  <si>
    <t>抛出 AssertionError，消息包含 'Intrinsic matrix must be 3x3'。</t>
  </si>
  <si>
    <t>等价类：无效矩阵尺寸</t>
  </si>
  <si>
    <t>NT</t>
  </si>
  <si>
    <t>M1-GEO-005</t>
  </si>
  <si>
    <t>内参矩阵含非零偏斜项</t>
  </si>
  <si>
    <t>depth_map=np.ones((1,1)); intrinsic=np.array([[1,0.1,0],[0,1,0],[0,0,1]])</t>
  </si>
  <si>
    <t>抛出 AssertionError，消息包含 'Intrinsic matrix must have zero skew'。</t>
  </si>
  <si>
    <t>错误推测：不支持的非零 skew</t>
  </si>
  <si>
    <t>M1-GEO-006</t>
  </si>
  <si>
    <t>closed_form_inverse_se3</t>
  </si>
  <si>
    <t>NumPy 单位 SE(3) 矩阵求逆</t>
  </si>
  <si>
    <t>se3=np.eye(4)[None,:,:]</t>
  </si>
  <si>
    <t>调用 closed_form_inverse_se3，比较输入输出矩阵。</t>
  </si>
  <si>
    <t>返回 shape=(1,4,4) 的 NumPy 数组，结果等于 4×4 单位矩阵。</t>
  </si>
  <si>
    <t>等价类：单位变换</t>
  </si>
  <si>
    <t>M1-GEO-007</t>
  </si>
  <si>
    <t>NumPy 批量平移矩阵求逆</t>
  </si>
  <si>
    <t>se3 包含两帧：I4；以及 [I3 | (1,2,3)^T] 的 3×4 矩阵（补齐为同形 4×4 批量）</t>
  </si>
  <si>
    <t>批量调用函数；分别校验两帧结果。</t>
  </si>
  <si>
    <t>第一帧仍为 I4；第二帧旋转仍为 I3，平移变为 (-1,-2,-3)，底行为 [0,0,0,1]。</t>
  </si>
  <si>
    <t>等价类：批量输入；组合覆盖</t>
  </si>
  <si>
    <t>M1-GEO-008</t>
  </si>
  <si>
    <t>绕 Z 轴 90°旋转矩阵求逆</t>
  </si>
  <si>
    <t>se3=[[[0,-1,0,0],[1,0,0,0],[0,0,1,0]]]，shape=(1,3,4)</t>
  </si>
  <si>
    <t>调用函数并检查旋转块与齐次底行。</t>
  </si>
  <si>
    <t>旋转块为 [[0,1,0],[-1,0,0],[0,0,1]]；平移为 0；底行为 [0,0,0,1]。</t>
  </si>
  <si>
    <t>等价类：纯旋转；逆变换性质</t>
  </si>
  <si>
    <t>M1-GEO-009</t>
  </si>
  <si>
    <t>Torch float64 类型与设备保持</t>
  </si>
  <si>
    <t>中</t>
  </si>
  <si>
    <t>se3=torch.eye(4,dtype=torch.float64).unsqueeze(0)</t>
  </si>
  <si>
    <t>调用函数，检查数值、dtype、device 和 shape。</t>
  </si>
  <si>
    <t>结果等于单位矩阵；dtype 为 torch.float64；device 与输入一致；shape=(1,4,4)。</t>
  </si>
  <si>
    <t>等价类：Torch 输入；类型保持</t>
  </si>
  <si>
    <t>M1-GEO-010</t>
  </si>
  <si>
    <t>SE(3) 尾部尺寸非法</t>
  </si>
  <si>
    <t>se3=np.zeros((1,4,3))</t>
  </si>
  <si>
    <t>抛出 ValueError，消息说明 se3 必须为 (N,4,4) 或 (N,3,4)，并包含实际 shape。</t>
  </si>
  <si>
    <t>边界值：尾部矩阵尺寸</t>
  </si>
  <si>
    <t>M1-GEO-011</t>
  </si>
  <si>
    <t>depth_to_world_coords_points</t>
  </si>
  <si>
    <t>深度图为 None</t>
  </si>
  <si>
    <t>depth_map=None；extrinsic、intrinsic 可传任意占位值</t>
  </si>
  <si>
    <t>调用函数并检查三个返回值。</t>
  </si>
  <si>
    <t>返回 (None, None, None)，且不继续访问矩阵。</t>
  </si>
  <si>
    <t>等价类：空输入</t>
  </si>
  <si>
    <t>M1-GEO-012</t>
  </si>
  <si>
    <t>单位内外参下世界坐标等于相机坐标</t>
  </si>
  <si>
    <t>depth_map=np.array([[1,2]]); intrinsic=I3; extrinsic=[I3|0]</t>
  </si>
  <si>
    <t>调用函数；比较 world_coords、cam_coords 和 point_mask。</t>
  </si>
  <si>
    <t>cam/world 坐标均为 [[[0,0,1],[2,0,2]]]；mask 为 [[True,True]]。</t>
  </si>
  <si>
    <t>等价类：单位坐标系</t>
  </si>
  <si>
    <t>M1-GEO-013</t>
  </si>
  <si>
    <t>含平移外参的相机到世界变换</t>
  </si>
  <si>
    <t>depth_map=np.array([[2.0]]); intrinsic=I3; extrinsic=[I3|(1,2,3)^T]</t>
  </si>
  <si>
    <t>调用函数并检查相机坐标、世界坐标和有效掩码。</t>
  </si>
  <si>
    <t>cam=[0,0,2]；world=[-1,-2,-1]；mask=True。</t>
  </si>
  <si>
    <t>等价类：纯平移；逆变换</t>
  </si>
  <si>
    <t>M1-GEO-014</t>
  </si>
  <si>
    <t>默认 eps 附近的深度有效性</t>
  </si>
  <si>
    <t>depth_map=np.array([[0,1e-8,1.1e-8,-1.0]]); intrinsic=I3; extrinsic=[I3|0]; eps=1e-8</t>
  </si>
  <si>
    <t>调用函数并只比较 point_mask 的四个布尔值。</t>
  </si>
  <si>
    <t>point_mask 等于 [[False,False,True,False]]；判断规则为 depth &gt; eps。</t>
  </si>
  <si>
    <t>边界值：eps-、eps、eps+</t>
  </si>
  <si>
    <t>M1-GEO-015</t>
  </si>
  <si>
    <t>旋转外参下的世界坐标</t>
  </si>
  <si>
    <t>depth_map=np.array([[0,1]]); intrinsic=I3; extrinsic 的旋转为绕 Z 轴 +90°，平移为 0</t>
  </si>
  <si>
    <t>调用函数并检查两个像素的世界坐标。</t>
  </si>
  <si>
    <t>第 0 个像素为 [0,0,0]；第 1 个像素相机坐标 [1,0,1]，世界坐标 [0,-1,1]。</t>
  </si>
  <si>
    <t>组合覆盖：深度与旋转</t>
  </si>
  <si>
    <t>M1-GEO-016</t>
  </si>
  <si>
    <t>unproject_depth_map_to_point_map</t>
  </si>
  <si>
    <t>两帧深度图批量反投影</t>
  </si>
  <si>
    <t>depth_map=np.array([[[1.0]],[[2.0]]]); 两帧 intrinsic=I3；两帧 extrinsic=[I3|0]</t>
  </si>
  <si>
    <t>调用函数并检查批量维度和两帧坐标。</t>
  </si>
  <si>
    <t>返回 shape=(2,1,1,3)；两帧坐标分别为 [0,0,1]、[0,0,2]。</t>
  </si>
  <si>
    <t>等价类：多帧批处理</t>
  </si>
  <si>
    <t>M1-GEO-017</t>
  </si>
  <si>
    <t>带末尾单通道维度的深度图</t>
  </si>
  <si>
    <t>depth_map=np.array([[[[1.0],[2.0]]]])，shape=(1,1,2,1)；intrinsic=I3；extrinsic=[I3|0]</t>
  </si>
  <si>
    <t>调用函数，确认 squeeze(-1) 后仍正确反投影。</t>
  </si>
  <si>
    <t>返回 shape=(1,1,2,3)，两个点为 [0,0,1] 和 [2,0,2]。</t>
  </si>
  <si>
    <t>等价类：文档允许的四维输入</t>
  </si>
  <si>
    <t>M1-GEO-018</t>
  </si>
  <si>
    <t>Torch 输入自动转为 NumPy</t>
  </si>
  <si>
    <t>depth=torch.tensor([[[3.0]]]); intrinsic=torch.eye(3)[None]; extrinsic=torch.cat([I3,0],dim=1)[None]</t>
  </si>
  <si>
    <t>调用函数并检查返回类型、shape 和数值。</t>
  </si>
  <si>
    <t>返回类型为 np.ndarray，shape=(1,1,1,3)，坐标为 [0,0,3]。</t>
  </si>
  <si>
    <t>等价类：Torch/NumPy 类型转换</t>
  </si>
  <si>
    <t>M1-GEO-019</t>
  </si>
  <si>
    <t>深度帧数与外参数量不一致</t>
  </si>
  <si>
    <t>depth shape=(2,1,1)；extrinsics shape=(1,3,4)；intrinsics shape=(2,3,3)</t>
  </si>
  <si>
    <t>调用函数并捕获第二帧访问外参时的异常。</t>
  </si>
  <si>
    <t>抛出 IndexError，不返回部分堆叠结果。</t>
  </si>
  <si>
    <t>错误推测：批量长度不一致</t>
  </si>
  <si>
    <t>M1-GEO-020</t>
  </si>
  <si>
    <t>project_world_points_to_camera_points_batch</t>
  </si>
  <si>
    <t>单位外参批量投影到相机坐标</t>
  </si>
  <si>
    <t>world_points shape=(1,1,1,2,3)，点为 [0,0,1]、[1,2,3]；extrinsic=[I3|0]</t>
  </si>
  <si>
    <t>调用函数，检查齐次扩展和矩阵乘法结果。</t>
  </si>
  <si>
    <t>返回 shape=(1,1,1,2,3)，两个相机点与输入世界点完全相同。</t>
  </si>
  <si>
    <t>等价类：单位外参</t>
  </si>
  <si>
    <t>M1-GEO-021</t>
  </si>
  <si>
    <t>平移外参批量投影</t>
  </si>
  <si>
    <t>world_points=[0,0,1]，shape=(1,1,1,1,3)；extrinsic=[I3|(1,0,0)^T]</t>
  </si>
  <si>
    <t>调用函数并比较相机坐标。</t>
  </si>
  <si>
    <t>返回点 [1,0,1]，shape=(1,1,1,1,3)。</t>
  </si>
  <si>
    <t>等价类：纯平移</t>
  </si>
  <si>
    <t>M1-GEO-022</t>
  </si>
  <si>
    <t>不同帧外参的广播计算</t>
  </si>
  <si>
    <t>B=1,S=2,H=W=1；两帧 world_points 均为 [1,1,1]；外参依次为 [I3|0]、[I3|(1,2,3)^T]</t>
  </si>
  <si>
    <t>调用函数并分别检查两帧输出及 shape。</t>
  </si>
  <si>
    <t>返回 shape=(1,2,1,1,3)；两帧结果依次为 [1,1,1]、[2,3,4]。</t>
  </si>
  <si>
    <t>组合覆盖：帧维度广播</t>
  </si>
  <si>
    <t>M1-GEO-023</t>
  </si>
  <si>
    <t>img_from_cam</t>
  </si>
  <si>
    <t>单位内参的透视除法</t>
  </si>
  <si>
    <t>K=I3；cam_points(B×3×N)=[[[2,-1],[4,1],[2,1]]]；distortion_params=None</t>
  </si>
  <si>
    <t>调用函数，检查两个点的像素坐标和输出排列。</t>
  </si>
  <si>
    <t>返回 shape=(1,2,2)，像素坐标依次为 [1,2]、[-1,1]。</t>
  </si>
  <si>
    <t>等价类：无畸变正常投影</t>
  </si>
  <si>
    <t>M1-GEO-024</t>
  </si>
  <si>
    <t>自定义焦距和主点的像素投影</t>
  </si>
  <si>
    <t>K=[[2,0,10],[0,3,20],[0,0,1]]；cam_point=[1,2,1]</t>
  </si>
  <si>
    <t>调用函数并按 u=fx·x/z+cx、v=fy·y/z+cy 复核。</t>
  </si>
  <si>
    <t>返回像素坐标 [12,26]，shape=(1,1,2)。</t>
  </si>
  <si>
    <t>等价类：非单位内参</t>
  </si>
  <si>
    <t>M1-GEO-025</t>
  </si>
  <si>
    <t>Z 为零导致 NaN 时使用默认值</t>
  </si>
  <si>
    <t>K=I3；cam_point=[0,0,0]；default=-9.0</t>
  </si>
  <si>
    <t>调用函数；允许底层产生除零警告；检查 nan_to_num 后的像素值。</t>
  </si>
  <si>
    <t>返回像素坐标 [-9,-9]，两个 NaN 均替换为 default。</t>
  </si>
  <si>
    <t>边界值：Z=0；错误推测</t>
  </si>
  <si>
    <t>M1-GEO-026</t>
  </si>
  <si>
    <t>零畸变参数等价于无畸变</t>
  </si>
  <si>
    <t>K=I3；cam_point=[1,2,2]；distortion_params=torch.tensor([[0.0]])</t>
  </si>
  <si>
    <t>分别以 distortion_params=None 和零参数调用函数，比较结果。</t>
  </si>
  <si>
    <t>两次均返回 [0.5,1.0]，差值在 atol=1e-6 内。</t>
  </si>
  <si>
    <t>等价类：可选参数 None/零值</t>
  </si>
  <si>
    <t>M1-GEO-027</t>
  </si>
  <si>
    <t>project_world_points_to_cam</t>
  </si>
  <si>
    <t>单位内外参的世界点投影</t>
  </si>
  <si>
    <t>world_points=[[0,0,1],[2,4,2]]；extrinsic=[I3|0]；intrinsic=I3</t>
  </si>
  <si>
    <t>调用函数，同时检查 image_points 与 cam_points。</t>
  </si>
  <si>
    <t>image_points=[[[0,0],[1,2]]]；cam_points shape=(1,3,2)，列向量分别为 [0,0,1]、[2,4,2]。</t>
  </si>
  <si>
    <t>等价类：端到端投影正常路径</t>
  </si>
  <si>
    <t>M1-GEO-028</t>
  </si>
  <si>
    <t>平移外参与自定义内参组合投影</t>
  </si>
  <si>
    <t>world_point=[0,0,1]；extrinsic=[I3|(1,2,0)^T]；K=[[2,0,10],[0,3,20],[0,0,1]]</t>
  </si>
  <si>
    <t>调用函数并分别校验相机坐标与像素坐标。</t>
  </si>
  <si>
    <t>cam_point=[1,2,1]；image_point=[12,26]。</t>
  </si>
  <si>
    <t>组合覆盖：外参平移×非单位内参</t>
  </si>
  <si>
    <t>M1-GEO-029</t>
  </si>
  <si>
    <t>only_points_cam 跳过像素投影</t>
  </si>
  <si>
    <t>world_point=[1,2,3]；extrinsic=[I3|(1,0,-1)^T]；cam_intrinsics=None；only_points_cam=True</t>
  </si>
  <si>
    <t>调用函数并检查两个返回值。</t>
  </si>
  <si>
    <t>image_points 为 None；cam_points shape=(1,3,1)，唯一列向量为 [2,2,2]。</t>
  </si>
  <si>
    <t>判定表：only_points_cam=True 分支</t>
  </si>
  <si>
    <t>M1-GEO-030</t>
  </si>
  <si>
    <t>cam_from_img</t>
  </si>
  <si>
    <t>根据焦距和主点归一化像素轨迹</t>
  </si>
  <si>
    <t>pred_tracks=[[[10,20],[12,26]]]；K=[[2,0,10],[0,3,20],[0,0,1]]；extra_params=None</t>
  </si>
  <si>
    <t>调用函数并逐点计算 (track-principal_point)/focal_length。</t>
  </si>
  <si>
    <t>返回 shape=(1,2,2)，归一化坐标依次为 [0,0]、[1,2]。</t>
  </si>
  <si>
    <t>等价类：无畸变归一化</t>
  </si>
  <si>
    <t>M1-GEO-031</t>
  </si>
  <si>
    <t>不同内参的批量轨迹归一化</t>
  </si>
  <si>
    <t>B=2,N=1；第1批 track=[2,4], fx=fy=2,cx=cy=0；第2批 track=[5,7], fx=4,fy=5,cx=1,cy=2</t>
  </si>
  <si>
    <t>批量调用函数并检查每个批次独立使用其内参。</t>
  </si>
  <si>
    <t>返回 shape=(2,1,2)；两批归一化坐标分别为 [1,2]、[1,1]。</t>
  </si>
  <si>
    <t>组合覆盖：批量内参差异</t>
  </si>
  <si>
    <t>M1-GEO-032</t>
  </si>
  <si>
    <t>零畸变参数的反畸变分支</t>
  </si>
  <si>
    <t>pred_tracks=[[[0.5,-0.25]]]；K=I3；extra_params=torch.tensor([[0.0]])</t>
  </si>
  <si>
    <t>分别以 extra_params=None 和零参数调用函数，比较返回值。</t>
  </si>
  <si>
    <t>两次均返回 [0.5,-0.25]，零畸变分支与无畸变结果在 atol=1e-6 内一致。</t>
  </si>
  <si>
    <t>判定表：extra_params 有/无；等价类</t>
  </si>
  <si>
    <t>实际执行通过，观测结果：返回 shape=(1,1,3)、dtype=float32；唯一坐标为 [0,0,2]。</t>
  </si>
  <si>
    <t>实际执行通过，观测结果：返回 [[[-1,-1,1],[0,-1,1]],[[-1,0,1],[0,0,1]]]，shape=(2,2,3)。</t>
  </si>
  <si>
    <t>实际执行通过，观测结果：返回 shape=(2,3,3) 的 float32 数组，所有坐标均为 [0,0,0]。</t>
  </si>
  <si>
    <t>实际执行通过，观测结果：抛出 AssertionError，消息包含 'Intrinsic matrix must be 3x3'。</t>
  </si>
  <si>
    <t>实际执行通过，观测结果：抛出 AssertionError，消息包含 'Intrinsic matrix must have zero skew'。</t>
  </si>
  <si>
    <t>实际执行通过，观测结果：返回 shape=(1,4,4) 的 NumPy 数组，结果等于 4×4 单位矩阵。</t>
  </si>
  <si>
    <t>实际执行通过，观测结果：第一帧仍为 I4；第二帧旋转仍为 I3，平移变为 (-1,-2,-3)，底行为 [0,0,0,1]。</t>
  </si>
  <si>
    <t>实际执行通过，观测结果：旋转块为 [[0,1,0],[-1,0,0],[0,0,1]]；平移为 0；底行为 [0,0,0,1]。</t>
  </si>
  <si>
    <t>实际执行通过，观测结果：结果等于单位矩阵；dtype 为 torch.float64；device 与输入一致；shape=(1,4,4)。</t>
  </si>
  <si>
    <t>实际执行通过，观测结果：抛出 ValueError，消息说明 se3 必须为 (N,4,4) 或 (N,3,4)，并包含实际 shape。</t>
  </si>
  <si>
    <t>实际执行通过，观测结果：返回 (None, None, None)，且不继续访问矩阵。</t>
  </si>
  <si>
    <t>实际执行通过，观测结果：cam/world 坐标均为 [[[0,0,1],[2,0,2]]]；mask 为 [[True,True]]。</t>
  </si>
  <si>
    <t>实际执行通过，观测结果：cam=[0,0,2]；world=[-1,-2,-1]；mask=True。</t>
  </si>
  <si>
    <t>实际执行通过，观测结果：point_mask 等于 [[False,False,True,False]]；判断规则为 depth &gt; eps。</t>
  </si>
  <si>
    <t>实际执行通过，观测结果：第 0 个像素为 [0,0,0]；第 1 个像素相机坐标 [1,0,1]，世界坐标 [0,-1,1]。</t>
  </si>
  <si>
    <t>实际执行抛出 ValueError: not enough values to unpack (expected 2, got 1)；失败点 geometry.py:98 的 H, W = depth_map.shape 解包。与预期结果不符，对应未修复缺陷 DEF-M1-001。</t>
  </si>
  <si>
    <t>实际执行通过，观测结果：返回 shape=(1,1,2,3)，两个点为 [0,0,1] 和 [2,0,2]。</t>
  </si>
  <si>
    <t>实际执行通过，观测结果：抛出 IndexError，不返回部分堆叠结果。</t>
  </si>
  <si>
    <t>实际执行通过，观测结果：返回 shape=(1,1,1,2,3)，两个相机点与输入世界点完全相同。</t>
  </si>
  <si>
    <t>实际执行通过，观测结果：返回点 [1,0,1]，shape=(1,1,1,1,3)。</t>
  </si>
  <si>
    <t>实际执行通过，观测结果：返回 shape=(1,2,1,1,3)；两帧结果依次为 [1,1,1]、[2,3,4]。</t>
  </si>
  <si>
    <t>实际执行通过，观测结果：返回 shape=(1,2,2)，像素坐标依次为 [1,2]、[-1,1]。</t>
  </si>
  <si>
    <t>实际执行通过，观测结果：返回像素坐标 [12,26]，shape=(1,1,2)。</t>
  </si>
  <si>
    <t>实际执行通过，观测结果：返回像素坐标 [-9,-9]，两个 NaN 均替换为 default。</t>
  </si>
  <si>
    <t>实际执行通过，观测结果：两次均返回 [0.5,1.0]，差值在 atol=1e-6 内。</t>
  </si>
  <si>
    <t>实际执行通过，观测结果：image_points=[[[0,0],[1,2]]]；cam_points shape=(1,3,2)，列向量分别为 [0,0,1]、[2,4,2]。</t>
  </si>
  <si>
    <t>实际执行通过，观测结果：cam_point=[1,2,1]；image_point=[12,26]。</t>
  </si>
  <si>
    <t>实际执行通过，观测结果：image_points 为 None；cam_points shape=(1,3,1)，唯一列向量为 [2,2,2]。</t>
  </si>
  <si>
    <t>实际执行通过，观测结果：返回 shape=(1,2,2)，归一化坐标依次为 [0,0]、[1,2]。</t>
  </si>
  <si>
    <t>实际执行通过，观测结果：返回 shape=(2,1,2)；两批归一化坐标分别为 [1,2]、[1,1]。</t>
  </si>
  <si>
    <t>实际执行通过，观测结果：两次均返回 [0.5,-0.25]，零畸变分支与无畸变结果在 atol=1e-6 内一致。</t>
  </si>
  <si>
    <r>
      <rPr>
        <rFont val="Times New Roman"/>
        <charset val="134"/>
        <b val="1"/>
        <sz val="18"/>
      </rPr>
      <t xml:space="preserve">Test  Case Form </t>
    </r>
    <r>
      <rPr>
        <rFont val="宋体"/>
        <charset val="134"/>
        <b val="1"/>
        <sz val="18"/>
      </rPr>
      <t>测试用例表单</t>
    </r>
  </si>
  <si>
    <r>
      <rPr>
        <rFont val="Times New Roman"/>
        <charset val="134"/>
        <sz val="12"/>
      </rPr>
      <t xml:space="preserve">General Information </t>
    </r>
    <r>
      <rPr>
        <rFont val="宋体"/>
        <charset val="134"/>
        <sz val="12"/>
      </rPr>
      <t>基本信息</t>
    </r>
  </si>
  <si>
    <r>
      <rPr>
        <rFont val="Times New Roman"/>
        <charset val="134"/>
        <sz val="12"/>
      </rPr>
      <t xml:space="preserve">Product Verion </t>
    </r>
    <r>
      <rPr>
        <rFont val="宋体"/>
        <charset val="134"/>
        <sz val="12"/>
      </rPr>
      <t>产品版本</t>
    </r>
  </si>
  <si>
    <r>
      <rPr>
        <rFont val="Times New Roman"/>
        <charset val="134"/>
        <sz val="12"/>
      </rPr>
      <t xml:space="preserve">Confidentiality level </t>
    </r>
    <r>
      <rPr>
        <rFont val="宋体"/>
        <charset val="134"/>
        <sz val="12"/>
      </rPr>
      <t>密级</t>
    </r>
  </si>
  <si>
    <r>
      <rPr>
        <rFont val="Times New Roman"/>
        <charset val="134"/>
        <sz val="12"/>
      </rPr>
      <t xml:space="preserve">Project Name </t>
    </r>
    <r>
      <rPr>
        <rFont val="宋体"/>
        <charset val="134"/>
        <sz val="12"/>
      </rPr>
      <t>项目名称</t>
    </r>
  </si>
  <si>
    <r>
      <rPr>
        <rFont val="Times New Roman"/>
        <charset val="134"/>
        <sz val="12"/>
      </rPr>
      <t xml:space="preserve">Project ID </t>
    </r>
    <r>
      <rPr>
        <rFont val="宋体"/>
        <charset val="134"/>
        <sz val="12"/>
      </rPr>
      <t>项目</t>
    </r>
    <r>
      <rPr>
        <rFont val="Times New Roman"/>
        <charset val="134"/>
        <sz val="12"/>
      </rPr>
      <t>ID</t>
    </r>
  </si>
  <si>
    <r>
      <rPr>
        <rFont val="Times New Roman"/>
        <charset val="134"/>
        <sz val="12"/>
      </rPr>
      <t xml:space="preserve">Prepared by </t>
    </r>
    <r>
      <rPr>
        <rFont val="宋体"/>
        <charset val="134"/>
        <sz val="12"/>
      </rPr>
      <t>拟制</t>
    </r>
  </si>
  <si>
    <r>
      <rPr>
        <rFont val="Times New Roman"/>
        <charset val="134"/>
        <sz val="12"/>
      </rPr>
      <t xml:space="preserve">Date </t>
    </r>
    <r>
      <rPr>
        <rFont val="宋体"/>
        <charset val="134"/>
        <sz val="12"/>
      </rPr>
      <t>日期</t>
    </r>
  </si>
  <si>
    <r>
      <rPr>
        <rFont val="Times New Roman"/>
        <charset val="134"/>
        <sz val="12"/>
      </rPr>
      <t xml:space="preserve">Reviewed by </t>
    </r>
    <r>
      <rPr>
        <rFont val="宋体"/>
        <charset val="134"/>
        <sz val="12"/>
      </rPr>
      <t>评审人</t>
    </r>
  </si>
  <si>
    <r>
      <rPr>
        <rFont val="Times New Roman"/>
        <charset val="134"/>
        <sz val="12"/>
      </rPr>
      <t xml:space="preserve">Approved by </t>
    </r>
    <r>
      <rPr>
        <rFont val="宋体"/>
        <charset val="134"/>
        <sz val="12"/>
      </rPr>
      <t>批准</t>
    </r>
  </si>
  <si>
    <r>
      <rPr>
        <rFont val="Times New Roman"/>
        <charset val="134"/>
        <sz val="12"/>
      </rPr>
      <t xml:space="preserve">Number of Test cases </t>
    </r>
    <r>
      <rPr>
        <rFont val="宋体"/>
        <charset val="134"/>
        <sz val="12"/>
      </rPr>
      <t>测试用例数</t>
    </r>
  </si>
  <si>
    <r>
      <rPr>
        <rFont val="Times New Roman"/>
        <charset val="134"/>
        <sz val="12"/>
      </rPr>
      <t xml:space="preserve">Introduction </t>
    </r>
    <r>
      <rPr>
        <rFont val="宋体"/>
        <charset val="134"/>
        <sz val="12"/>
      </rPr>
      <t>概述</t>
    </r>
  </si>
  <si>
    <r>
      <rPr>
        <rFont val="Times New Roman"/>
        <charset val="134"/>
        <sz val="12"/>
      </rPr>
      <t xml:space="preserve">Revision Record </t>
    </r>
    <r>
      <rPr>
        <rFont val="宋体"/>
        <charset val="134"/>
        <sz val="12"/>
      </rPr>
      <t>修订记录</t>
    </r>
  </si>
  <si>
    <r>
      <rPr>
        <rFont val="Times New Roman"/>
        <charset val="134"/>
        <sz val="12"/>
      </rPr>
      <t xml:space="preserve">Date </t>
    </r>
    <r>
      <rPr>
        <rFont val="宋体"/>
        <charset val="134"/>
        <sz val="12"/>
      </rPr>
      <t>日期</t>
    </r>
    <r>
      <rPr>
        <rFont val="Times New Roman"/>
        <charset val="134"/>
        <sz val="12"/>
      </rPr>
      <t xml:space="preserve"> </t>
    </r>
  </si>
  <si>
    <r>
      <rPr>
        <rFont val="Times New Roman"/>
        <charset val="134"/>
        <sz val="12"/>
      </rPr>
      <t xml:space="preserve">Revision Version </t>
    </r>
    <r>
      <rPr>
        <rFont val="宋体"/>
        <charset val="134"/>
        <sz val="12"/>
      </rPr>
      <t>修订</t>
    </r>
    <r>
      <rPr>
        <rFont val="Times New Roman"/>
        <charset val="134"/>
        <sz val="12"/>
      </rPr>
      <t xml:space="preserve"> </t>
    </r>
    <r>
      <rPr>
        <rFont val="宋体"/>
        <charset val="134"/>
        <sz val="12"/>
      </rPr>
      <t>版本</t>
    </r>
  </si>
  <si>
    <r>
      <rPr>
        <rFont val="Times New Roman"/>
        <charset val="134"/>
        <sz val="12"/>
      </rPr>
      <t>CR ID / Defect ID CR</t>
    </r>
    <r>
      <rPr>
        <rFont val="宋体"/>
        <charset val="134"/>
        <sz val="12"/>
      </rPr>
      <t>号</t>
    </r>
  </si>
  <si>
    <r>
      <rPr>
        <rFont val="Times New Roman"/>
        <charset val="134"/>
        <sz val="12"/>
      </rPr>
      <t xml:space="preserve">Change Description </t>
    </r>
    <r>
      <rPr>
        <rFont val="宋体"/>
        <charset val="134"/>
        <sz val="12"/>
      </rPr>
      <t>修改描述</t>
    </r>
  </si>
  <si>
    <r>
      <rPr>
        <rFont val="Times New Roman"/>
        <charset val="134"/>
        <sz val="12"/>
      </rPr>
      <t xml:space="preserve">Author </t>
    </r>
    <r>
      <rPr>
        <rFont val="宋体"/>
        <charset val="134"/>
        <sz val="12"/>
      </rPr>
      <t>作者</t>
    </r>
  </si>
  <si>
    <r>
      <rPr>
        <rFont val="Times New Roman"/>
        <charset val="134"/>
        <sz val="12"/>
      </rPr>
      <t xml:space="preserve">revised xxx </t>
    </r>
    <r>
      <rPr>
        <rFont val="宋体"/>
        <charset val="134"/>
        <sz val="12"/>
      </rPr>
      <t>修改</t>
    </r>
    <r>
      <rPr>
        <rFont val="Times New Roman"/>
        <charset val="134"/>
        <sz val="12"/>
      </rPr>
      <t>XXX Xxx Xxx ...</t>
    </r>
  </si>
  <si>
    <r>
      <rPr>
        <rFont val="Times New Roman"/>
        <charset val="134"/>
        <sz val="12"/>
      </rPr>
      <t xml:space="preserve">Name </t>
    </r>
    <r>
      <rPr>
        <rFont val="宋体"/>
        <charset val="134"/>
        <sz val="12"/>
      </rPr>
      <t>作者名</t>
    </r>
  </si>
  <si>
    <r>
      <rPr>
        <rFont val="Times New Roman"/>
        <charset val="134"/>
        <sz val="12"/>
      </rPr>
      <t xml:space="preserve">Distribution LIST </t>
    </r>
    <r>
      <rPr>
        <rFont val="宋体"/>
        <charset val="134"/>
        <sz val="12"/>
      </rPr>
      <t>分发记录</t>
    </r>
  </si>
  <si>
    <r>
      <rPr>
        <rFont val="Times New Roman"/>
        <charset val="134"/>
        <sz val="12"/>
      </rPr>
      <t xml:space="preserve">Holder's Name &amp; Role  </t>
    </r>
    <r>
      <rPr>
        <rFont val="宋体"/>
        <charset val="134"/>
        <sz val="12"/>
      </rPr>
      <t>持有者和角色</t>
    </r>
  </si>
  <si>
    <r>
      <rPr>
        <rFont val="Times New Roman"/>
        <charset val="134"/>
        <sz val="12"/>
      </rPr>
      <t xml:space="preserve">Issue Date  </t>
    </r>
    <r>
      <rPr>
        <rFont val="宋体"/>
        <charset val="134"/>
        <sz val="12"/>
      </rPr>
      <t>分发日期</t>
    </r>
  </si>
  <si>
    <r>
      <rPr>
        <rFont val="Times New Roman"/>
        <charset val="134"/>
        <sz val="12"/>
      </rPr>
      <t>OK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</si>
  <si>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OK</t>
    </r>
    <r>
      <rPr>
        <rFont val="宋体"/>
        <charset val="134"/>
        <sz val="12"/>
      </rPr>
      <t>率</t>
    </r>
  </si>
  <si>
    <r>
      <rPr>
        <rFont val="Times New Roman"/>
        <charset val="134"/>
        <sz val="12"/>
      </rPr>
      <t>POK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</si>
  <si>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POK</t>
    </r>
    <r>
      <rPr>
        <rFont val="宋体"/>
        <charset val="134"/>
        <sz val="12"/>
      </rPr>
      <t>率</t>
    </r>
  </si>
  <si>
    <r>
      <rPr>
        <rFont val="Times New Roman"/>
        <charset val="134"/>
        <sz val="12"/>
      </rPr>
      <t>NG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</si>
  <si>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NG</t>
    </r>
    <r>
      <rPr>
        <rFont val="宋体"/>
        <charset val="134"/>
        <sz val="12"/>
      </rPr>
      <t>率</t>
    </r>
  </si>
  <si>
    <r>
      <rPr>
        <rFont val="Times New Roman"/>
        <charset val="134"/>
        <sz val="12"/>
      </rPr>
      <t>NT</t>
    </r>
    <r>
      <rPr>
        <rFont val="宋体"/>
        <charset val="134"/>
        <sz val="12"/>
      </rPr>
      <t>项</t>
    </r>
  </si>
  <si>
    <r>
      <rPr>
        <rFont val="Times New Roman"/>
        <charset val="134"/>
        <sz val="12"/>
      </rPr>
      <t>NT</t>
    </r>
    <r>
      <rPr>
        <rFont val="宋体"/>
        <charset val="134"/>
        <sz val="12"/>
      </rPr>
      <t>率</t>
    </r>
  </si>
  <si>
    <r>
      <rPr>
        <rFont val="Times New Roman"/>
        <charset val="134"/>
        <b val="1"/>
        <sz val="12"/>
      </rPr>
      <t xml:space="preserve">Test Case ID </t>
    </r>
    <r>
      <rPr>
        <rFont val="宋体"/>
        <charset val="134"/>
        <b val="1"/>
        <sz val="12"/>
      </rPr>
      <t>测试用例编号</t>
    </r>
  </si>
  <si>
    <r>
      <rPr>
        <rFont val="Times New Roman"/>
        <charset val="134"/>
        <b val="1"/>
        <sz val="12"/>
      </rPr>
      <t xml:space="preserve">Test Item </t>
    </r>
    <r>
      <rPr>
        <rFont val="宋体"/>
        <charset val="134"/>
        <b val="1"/>
        <sz val="12"/>
      </rPr>
      <t>测试项（即功能模块或函数）</t>
    </r>
  </si>
  <si>
    <r>
      <rPr>
        <rFont val="Times New Roman"/>
        <charset val="134"/>
        <b val="1"/>
        <sz val="12"/>
      </rPr>
      <t xml:space="preserve">Test Case Title </t>
    </r>
    <r>
      <rPr>
        <rFont val="宋体"/>
        <charset val="134"/>
        <b val="1"/>
        <sz val="12"/>
      </rPr>
      <t>测试用例标题</t>
    </r>
  </si>
  <si>
    <r>
      <rPr>
        <rFont val="Times New Roman"/>
        <charset val="134"/>
        <b val="1"/>
        <sz val="12"/>
      </rPr>
      <t>Test Criticality</t>
    </r>
    <r>
      <rPr>
        <rFont val="宋体"/>
        <charset val="134"/>
        <b val="1"/>
        <sz val="12"/>
      </rPr>
      <t>重要级别</t>
    </r>
  </si>
  <si>
    <r>
      <rPr>
        <rFont val="Times New Roman"/>
        <charset val="134"/>
        <b val="1"/>
        <sz val="12"/>
      </rPr>
      <t xml:space="preserve">Pre-condition </t>
    </r>
    <r>
      <rPr>
        <rFont val="宋体"/>
        <charset val="134"/>
        <b val="1"/>
        <sz val="12"/>
      </rPr>
      <t>预置条件</t>
    </r>
  </si>
  <si>
    <r>
      <rPr>
        <rFont val="Times New Roman"/>
        <charset val="134"/>
        <b val="1"/>
        <sz val="12"/>
      </rPr>
      <t xml:space="preserve">Input </t>
    </r>
    <r>
      <rPr>
        <rFont val="宋体"/>
        <charset val="134"/>
        <b val="1"/>
        <sz val="12"/>
      </rPr>
      <t>输入</t>
    </r>
  </si>
  <si>
    <r>
      <rPr>
        <rFont val="Times New Roman"/>
        <charset val="134"/>
        <b val="1"/>
        <sz val="12"/>
      </rPr>
      <t xml:space="preserve">Procedure </t>
    </r>
    <r>
      <rPr>
        <rFont val="宋体"/>
        <charset val="134"/>
        <b val="1"/>
        <sz val="12"/>
      </rPr>
      <t>操作步骤</t>
    </r>
  </si>
  <si>
    <r>
      <rPr>
        <rFont val="Times New Roman"/>
        <charset val="134"/>
        <b val="1"/>
        <sz val="12"/>
      </rPr>
      <t xml:space="preserve">Output </t>
    </r>
    <r>
      <rPr>
        <rFont val="宋体"/>
        <charset val="134"/>
        <b val="1"/>
        <sz val="12"/>
      </rPr>
      <t>预期结果</t>
    </r>
  </si>
  <si>
    <r>
      <rPr>
        <rFont val="Times New Roman"/>
        <charset val="134"/>
        <b val="1"/>
        <sz val="12"/>
      </rPr>
      <t xml:space="preserve">Result
</t>
    </r>
    <r>
      <rPr>
        <rFont val="宋体"/>
        <charset val="134"/>
        <b val="1"/>
        <sz val="12"/>
      </rPr>
      <t>实际结果</t>
    </r>
  </si>
  <si>
    <r>
      <rPr>
        <rFont val="Times New Roman"/>
        <charset val="134"/>
        <b val="1"/>
        <sz val="12"/>
      </rPr>
      <t xml:space="preserve">Status
</t>
    </r>
    <r>
      <rPr>
        <rFont val="宋体"/>
        <charset val="134"/>
        <b val="1"/>
        <sz val="12"/>
      </rPr>
      <t>是否通过</t>
    </r>
  </si>
  <si>
    <r>
      <rPr>
        <rFont val="Times New Roman"/>
        <charset val="134"/>
        <b val="1"/>
        <sz val="12"/>
      </rPr>
      <t xml:space="preserve">Remark </t>
    </r>
    <r>
      <rPr>
        <rFont val="宋体"/>
        <charset val="134"/>
        <b val="1"/>
        <sz val="12"/>
      </rPr>
      <t>备注</t>
    </r>
    <r>
      <rPr>
        <rFont val="宋体"/>
        <charset val="134"/>
        <b val="1"/>
        <color indexed="10"/>
        <sz val="12"/>
      </rPr>
      <t>（在此描述使用的测试方法）</t>
    </r>
  </si>
  <si>
    <r>
      <t>返回</t>
    </r>
    <r>
      <rPr>
        <rFont val="Times New Roman"/>
        <charset val="134"/>
        <sz val="11"/>
      </rPr>
      <t xml:space="preserve"> shape=(1,1,3)</t>
    </r>
    <r>
      <rPr>
        <rFont val="宋体"/>
        <charset val="134"/>
        <sz val="11"/>
      </rPr>
      <t>、</t>
    </r>
    <r>
      <rPr>
        <rFont val="Times New Roman"/>
        <charset val="134"/>
        <sz val="11"/>
      </rPr>
      <t>dtype=float32</t>
    </r>
    <r>
      <rPr>
        <rFont val="宋体"/>
        <charset val="134"/>
        <sz val="11"/>
      </rPr>
      <t>；唯一坐标为</t>
    </r>
    <r>
      <rPr>
        <rFont val="Times New Roman"/>
        <charset val="134"/>
        <sz val="11"/>
      </rPr>
      <t xml:space="preserve"> [0,0,2]</t>
    </r>
    <r>
      <rPr>
        <rFont val="宋体"/>
        <charset val="134"/>
        <sz val="11"/>
      </rPr>
      <t>。</t>
    </r>
  </si>
  <si>
    <r>
      <rPr>
        <rFont val="Times New Roman"/>
        <charset val="134"/>
        <b val="1"/>
        <sz val="12"/>
      </rPr>
      <t xml:space="preserve">Introduction </t>
    </r>
    <r>
      <rPr>
        <rFont val="宋体"/>
        <charset val="134"/>
        <b val="1"/>
        <sz val="12"/>
      </rPr>
      <t>使用说明</t>
    </r>
  </si>
  <si>
    <r>
      <rPr>
        <rFont val="Times New Roman"/>
        <charset val="134"/>
        <sz val="11"/>
      </rPr>
      <t xml:space="preserve">There are two sheets in the Test Case Form. One is "Information", the other is "Test Cases" sheet. </t>
    </r>
    <r>
      <rPr>
        <rFont val="宋体"/>
        <charset val="134"/>
        <sz val="11"/>
      </rPr>
      <t>测试用例表包含两个表单：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基本信息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表单和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测试用例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表单。</t>
    </r>
  </si>
  <si>
    <r>
      <rPr>
        <rFont val="Times New Roman"/>
        <charset val="134"/>
        <sz val="11"/>
      </rPr>
      <t xml:space="preserve">The test cases can be multilevel. </t>
    </r>
    <r>
      <rPr>
        <rFont val="宋体"/>
        <charset val="134"/>
        <sz val="11"/>
      </rPr>
      <t>本测试用例模板支持分层。</t>
    </r>
  </si>
  <si>
    <r>
      <rPr>
        <rFont val="Times New Roman"/>
        <charset val="134"/>
        <sz val="11"/>
      </rPr>
      <t xml:space="preserve">If project need multilevel, they can add column beside "test item" and "test case" column at "Test Cases" sheet. </t>
    </r>
    <r>
      <rPr>
        <rFont val="宋体"/>
        <charset val="134"/>
        <sz val="11"/>
      </rPr>
      <t>项目组如果需要多级分层，可在</t>
    </r>
    <r>
      <rPr>
        <rFont val="Times New Roman"/>
        <charset val="134"/>
        <sz val="11"/>
      </rPr>
      <t>“Test cases”</t>
    </r>
    <r>
      <rPr>
        <rFont val="宋体"/>
        <charset val="134"/>
        <sz val="11"/>
      </rPr>
      <t>页面中的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测试项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和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测试用例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之间增加列。例如增加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测试子项</t>
    </r>
    <r>
      <rPr>
        <rFont val="Times New Roman"/>
        <charset val="134"/>
        <sz val="11"/>
      </rPr>
      <t>”</t>
    </r>
    <r>
      <rPr>
        <rFont val="宋体"/>
        <charset val="134"/>
        <sz val="11"/>
      </rPr>
      <t>。</t>
    </r>
  </si>
  <si>
    <r>
      <rPr>
        <rFont val="Times New Roman"/>
        <charset val="134"/>
        <sz val="11"/>
      </rPr>
      <t xml:space="preserve">The number of test cases is low level test cases' number, it is automatic calculate. </t>
    </r>
    <r>
      <rPr>
        <rFont val="宋体"/>
        <charset val="134"/>
        <sz val="11"/>
      </rPr>
      <t>测试用例的统计使用小测试用例统计，自动统计。</t>
    </r>
  </si>
  <si>
    <r>
      <rPr>
        <rFont val="Times New Roman"/>
        <charset val="134"/>
        <sz val="11"/>
      </rPr>
      <t xml:space="preserve">The Test Case Form should not use as test record. </t>
    </r>
    <r>
      <rPr>
        <rFont val="宋体"/>
        <charset val="134"/>
        <sz val="11"/>
      </rPr>
      <t>本测试用例表单不能作为测试记录使用。</t>
    </r>
  </si>
  <si>
    <r>
      <rPr>
        <rFont val="Times New Roman"/>
        <charset val="134"/>
        <sz val="11"/>
      </rPr>
      <t xml:space="preserve">Test cases ID shall follow the ID rules defined in Test strategy. For example,"Project ID-UT(IT,ST)-nnn". </t>
    </r>
    <r>
      <rPr>
        <rFont val="宋体"/>
        <charset val="134"/>
        <sz val="11"/>
      </rPr>
      <t>测试用例的编号应符合测试策略中对编号规则的要求。例如，</t>
    </r>
    <r>
      <rPr>
        <rFont val="Times New Roman"/>
        <charset val="134"/>
        <sz val="11"/>
      </rPr>
      <t>“</t>
    </r>
    <r>
      <rPr>
        <rFont val="宋体"/>
        <charset val="134"/>
        <sz val="11"/>
      </rPr>
      <t>项目编码</t>
    </r>
    <r>
      <rPr>
        <rFont val="Times New Roman"/>
        <charset val="134"/>
        <sz val="11"/>
      </rPr>
      <t xml:space="preserve"> -UT</t>
    </r>
    <r>
      <rPr>
        <rFont val="宋体"/>
        <charset val="134"/>
        <sz val="11"/>
      </rPr>
      <t>（或</t>
    </r>
    <r>
      <rPr>
        <rFont val="Times New Roman"/>
        <charset val="134"/>
        <sz val="11"/>
      </rPr>
      <t>IT</t>
    </r>
    <r>
      <rPr>
        <rFont val="宋体"/>
        <charset val="134"/>
        <sz val="11"/>
      </rPr>
      <t>，</t>
    </r>
    <r>
      <rPr>
        <rFont val="Times New Roman"/>
        <charset val="134"/>
        <sz val="11"/>
      </rPr>
      <t>ST</t>
    </r>
    <r>
      <rPr>
        <rFont val="宋体"/>
        <charset val="134"/>
        <sz val="11"/>
      </rPr>
      <t>）</t>
    </r>
    <r>
      <rPr>
        <rFont val="Times New Roman"/>
        <charset val="134"/>
        <sz val="11"/>
      </rPr>
      <t>-nnn”</t>
    </r>
    <r>
      <rPr>
        <rFont val="宋体"/>
        <charset val="134"/>
        <sz val="11"/>
      </rPr>
      <t>。</t>
    </r>
  </si>
  <si>
    <r>
      <rPr>
        <rFont val="Times New Roman"/>
        <charset val="134"/>
        <sz val="11"/>
      </rPr>
      <t>Test Criticality</t>
    </r>
    <r>
      <rPr>
        <rFont val="宋体"/>
        <charset val="134"/>
        <sz val="11"/>
      </rPr>
      <t>重要级别定义为：</t>
    </r>
    <r>
      <rPr>
        <rFont val="Times New Roman"/>
        <charset val="134"/>
        <sz val="11"/>
      </rPr>
      <t>Specify High/Medium/Low.</t>
    </r>
    <r>
      <rPr>
        <rFont val="宋体"/>
        <charset val="134"/>
        <sz val="11"/>
      </rPr>
      <t>描述测试用例的重要级别：高</t>
    </r>
    <r>
      <rPr>
        <rFont val="Times New Roman"/>
        <charset val="134"/>
        <sz val="11"/>
      </rPr>
      <t>/</t>
    </r>
    <r>
      <rPr>
        <rFont val="宋体"/>
        <charset val="134"/>
        <sz val="11"/>
      </rPr>
      <t>中</t>
    </r>
    <r>
      <rPr>
        <rFont val="Times New Roman"/>
        <charset val="134"/>
        <sz val="11"/>
      </rPr>
      <t>/</t>
    </r>
    <r>
      <rPr>
        <rFont val="宋体"/>
        <charset val="134"/>
        <sz val="11"/>
      </rPr>
      <t>低</t>
    </r>
    <r>
      <rPr>
        <rFont val="Times New Roman"/>
        <charset val="134"/>
        <sz val="11"/>
      </rPr>
      <t>.</t>
    </r>
  </si>
  <si>
    <r>
      <rPr>
        <rFont val="Times New Roman"/>
        <charset val="134"/>
        <sz val="11"/>
      </rPr>
      <t xml:space="preserve">Output </t>
    </r>
    <r>
      <rPr>
        <rFont val="宋体"/>
        <charset val="134"/>
        <sz val="11"/>
      </rPr>
      <t>预期输出：</t>
    </r>
    <r>
      <rPr>
        <rFont val="Times New Roman"/>
        <charset val="134"/>
        <sz val="11"/>
      </rPr>
      <t>Provide the expected result after performing the test</t>
    </r>
    <r>
      <rPr>
        <rFont val="宋体"/>
        <charset val="134"/>
        <sz val="11"/>
      </rPr>
      <t>提供测试执行的预期结果</t>
    </r>
  </si>
  <si>
    <r>
      <rPr>
        <rFont val="Times New Roman"/>
        <charset val="134"/>
        <sz val="11"/>
      </rPr>
      <t>R</t>
    </r>
    <r>
      <rPr>
        <rFont val="Times New Roman"/>
        <charset val="134"/>
        <sz val="12"/>
      </rPr>
      <t xml:space="preserve">esult </t>
    </r>
    <r>
      <rPr>
        <rFont val="宋体"/>
        <charset val="134"/>
        <sz val="12"/>
      </rPr>
      <t>实际输出</t>
    </r>
    <r>
      <rPr>
        <rFont val="Times New Roman"/>
        <charset val="134"/>
        <sz val="12"/>
      </rPr>
      <t>:Provide the result after performing the test</t>
    </r>
    <r>
      <rPr>
        <rFont val="宋体"/>
        <charset val="134"/>
        <sz val="12"/>
      </rPr>
      <t xml:space="preserve">提供测试结果
</t>
    </r>
    <r>
      <rPr>
        <rFont val="Times New Roman"/>
        <charset val="134"/>
        <sz val="12"/>
      </rPr>
      <t>OK:</t>
    </r>
    <r>
      <rPr>
        <rFont val="宋体"/>
        <charset val="134"/>
        <sz val="12"/>
      </rPr>
      <t xml:space="preserve">测试通过
</t>
    </r>
    <r>
      <rPr>
        <rFont val="Times New Roman"/>
        <charset val="134"/>
        <sz val="12"/>
      </rPr>
      <t>POK:</t>
    </r>
    <r>
      <rPr>
        <rFont val="宋体"/>
        <charset val="134"/>
        <sz val="12"/>
      </rPr>
      <t xml:space="preserve">部分通过
</t>
    </r>
    <r>
      <rPr>
        <rFont val="Times New Roman"/>
        <charset val="134"/>
        <sz val="12"/>
      </rPr>
      <t>NG:</t>
    </r>
    <r>
      <rPr>
        <rFont val="宋体"/>
        <charset val="134"/>
        <sz val="12"/>
      </rPr>
      <t xml:space="preserve">不能通过
</t>
    </r>
    <r>
      <rPr>
        <rFont val="Times New Roman"/>
        <charset val="134"/>
        <sz val="12"/>
      </rPr>
      <t>NT:</t>
    </r>
    <r>
      <rPr>
        <rFont val="宋体"/>
        <charset val="134"/>
        <sz val="12"/>
      </rPr>
      <t>测试用例错误</t>
    </r>
    <r>
      <rPr>
        <rFont val="Times New Roman"/>
        <charset val="134"/>
        <sz val="12"/>
      </rPr>
      <t>,</t>
    </r>
    <r>
      <rPr>
        <rFont val="宋体"/>
        <charset val="134"/>
        <sz val="12"/>
      </rPr>
      <t>测试无法执行</t>
    </r>
  </si>
</sst>
</file>

<file path=xl/styles.xml><?xml version="1.0" encoding="utf-8"?>
<styleSheet xmlns="http://schemas.openxmlformats.org/spreadsheetml/2006/main">
  <numFmts count="8">
    <numFmt numFmtId="300" formatCode="yyyy\.mm\.dd"/>
    <numFmt numFmtId="301" formatCode="yy\.mm\.dd"/>
    <numFmt numFmtId="302" formatCode="General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0%"/>
    <numFmt numFmtId="306" formatCode="_ * #,##0_ ;_ * \-#,##0_ ;_ * &quot;-&quot;_ ;_ @_ "/>
    <numFmt numFmtId="307" formatCode="_ &quot;￥&quot;* #,##0_ ;_ &quot;￥&quot;* \-#,##0_ ;_ &quot;￥&quot;* &quot;-&quot;_ ;_ @_ "/>
  </numFmts>
  <fonts count="34">
    <font>
      <name val="Arial"/>
      <charset val="134"/>
      <sz val="12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Times New Roman"/>
      <charset val="134"/>
      <b val="1"/>
      <sz val="18"/>
    </font>
    <font>
      <name val="Times New Roman"/>
      <charset val="134"/>
      <sz val="11"/>
    </font>
    <font>
      <name val="Times New Roman"/>
      <charset val="134"/>
      <sz val="12"/>
    </font>
    <font>
      <name val="宋体"/>
      <charset val="134"/>
      <i val="1"/>
      <color indexed="10"/>
      <sz val="11"/>
    </font>
    <font>
      <name val="Times New Roman"/>
      <charset val="134"/>
      <i val="1"/>
      <color indexed="10"/>
      <sz val="11"/>
    </font>
    <font>
      <name val="宋体"/>
      <charset val="134"/>
      <sz val="12"/>
    </font>
    <font>
      <name val="Times New Roman"/>
      <charset val="134"/>
      <color indexed="9"/>
      <sz val="12"/>
    </font>
    <font>
      <name val="Times New Roman"/>
      <charset val="134"/>
      <b val="1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Arial"/>
      <charset val="134"/>
      <sz val="12"/>
    </font>
    <font>
      <name val="宋体"/>
      <charset val="0"/>
      <color rgb="FF0000FF"/>
      <sz val="11"/>
      <u/>
      <scheme val="minor"/>
    </font>
    <font>
      <name val="黑体"/>
      <charset val="134"/>
      <color theme="1"/>
      <sz val="11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2" fontId="13" fillId="0" borderId="17" xfId="0"/>
    <xf numFmtId="302" fontId="14" fillId="7" borderId="17" xfId="0" applyNumberFormat="0" applyFill="0" applyBorder="0" applyAlignment="0" applyProtection="0">
      <alignment vertical="center"/>
    </xf>
    <xf numFmtId="303" fontId="15" fillId="7" borderId="17" xfId="0" applyFont="0" applyFill="0" applyBorder="0" applyAlignment="0" applyProtection="0">
      <alignment vertical="center"/>
    </xf>
    <xf numFmtId="304" fontId="15" fillId="7" borderId="17" xfId="0" applyFont="0" applyFill="0" applyBorder="0" applyAlignment="0" applyProtection="0">
      <alignment vertical="center"/>
    </xf>
    <xf numFmtId="305" fontId="15" fillId="7" borderId="17" xfId="0" applyFont="0" applyFill="0" applyBorder="0" applyAlignment="0" applyProtection="0">
      <alignment vertical="center"/>
    </xf>
    <xf numFmtId="306" fontId="15" fillId="7" borderId="17" xfId="0" applyFont="0" applyFill="0" applyBorder="0" applyAlignment="0" applyProtection="0">
      <alignment vertical="center"/>
    </xf>
    <xf numFmtId="307" fontId="15" fillId="7" borderId="17" xfId="0" applyFont="0" applyFill="0" applyBorder="0" applyAlignment="0" applyProtection="0">
      <alignment vertical="center"/>
    </xf>
    <xf numFmtId="302" fontId="16" fillId="7" borderId="17" xfId="0" applyNumberFormat="0" applyFill="0" applyBorder="0" applyAlignment="0" applyProtection="0">
      <alignment vertical="center"/>
    </xf>
    <xf numFmtId="302" fontId="15" fillId="8" borderId="18" xfId="0" applyNumberFormat="0" applyFont="0" applyAlignment="0" applyProtection="0">
      <alignment vertical="center"/>
    </xf>
    <xf numFmtId="302" fontId="17" fillId="7" borderId="17" xfId="0" applyNumberFormat="0" applyFill="0" applyBorder="0" applyAlignment="0" applyProtection="0">
      <alignment vertical="center"/>
    </xf>
    <xf numFmtId="302" fontId="18" fillId="7" borderId="17" xfId="0" applyNumberFormat="0" applyFill="0" applyBorder="0" applyAlignment="0" applyProtection="0">
      <alignment vertical="center"/>
    </xf>
    <xf numFmtId="302" fontId="19" fillId="7" borderId="17" xfId="0" applyNumberFormat="0" applyFill="0" applyBorder="0" applyAlignment="0" applyProtection="0">
      <alignment vertical="center"/>
    </xf>
    <xf numFmtId="302" fontId="20" fillId="7" borderId="19" xfId="0" applyNumberFormat="0" applyFill="0" applyAlignment="0" applyProtection="0">
      <alignment vertical="center"/>
    </xf>
    <xf numFmtId="302" fontId="21" fillId="7" borderId="19" xfId="0" applyNumberFormat="0" applyFill="0" applyAlignment="0" applyProtection="0">
      <alignment vertical="center"/>
    </xf>
    <xf numFmtId="302" fontId="22" fillId="7" borderId="20" xfId="0" applyNumberFormat="0" applyFill="0" applyAlignment="0" applyProtection="0">
      <alignment vertical="center"/>
    </xf>
    <xf numFmtId="302" fontId="22" fillId="7" borderId="17" xfId="0" applyNumberFormat="0" applyFill="0" applyBorder="0" applyAlignment="0" applyProtection="0">
      <alignment vertical="center"/>
    </xf>
    <xf numFmtId="302" fontId="23" fillId="9" borderId="21" xfId="0" applyNumberFormat="0" applyAlignment="0" applyProtection="0">
      <alignment vertical="center"/>
    </xf>
    <xf numFmtId="302" fontId="24" fillId="10" borderId="22" xfId="0" applyNumberFormat="0" applyAlignment="0" applyProtection="0">
      <alignment vertical="center"/>
    </xf>
    <xf numFmtId="302" fontId="25" fillId="10" borderId="21" xfId="0" applyNumberFormat="0" applyAlignment="0" applyProtection="0">
      <alignment vertical="center"/>
    </xf>
    <xf numFmtId="302" fontId="26" fillId="11" borderId="23" xfId="0" applyNumberFormat="0" applyAlignment="0" applyProtection="0">
      <alignment vertical="center"/>
    </xf>
    <xf numFmtId="302" fontId="27" fillId="7" borderId="24" xfId="0" applyNumberFormat="0" applyFill="0" applyAlignment="0" applyProtection="0">
      <alignment vertical="center"/>
    </xf>
    <xf numFmtId="302" fontId="28" fillId="7" borderId="25" xfId="0" applyNumberFormat="0" applyFill="0" applyAlignment="0" applyProtection="0">
      <alignment vertical="center"/>
    </xf>
    <xf numFmtId="302" fontId="29" fillId="12" borderId="17" xfId="0" applyNumberFormat="0" applyBorder="0" applyAlignment="0" applyProtection="0">
      <alignment vertical="center"/>
    </xf>
    <xf numFmtId="302" fontId="30" fillId="13" borderId="17" xfId="0" applyNumberFormat="0" applyBorder="0" applyAlignment="0" applyProtection="0">
      <alignment vertical="center"/>
    </xf>
    <xf numFmtId="302" fontId="31" fillId="14" borderId="17" xfId="0" applyNumberFormat="0" applyBorder="0" applyAlignment="0" applyProtection="0">
      <alignment vertical="center"/>
    </xf>
    <xf numFmtId="302" fontId="32" fillId="15" borderId="17" xfId="0" applyNumberFormat="0" applyBorder="0" applyAlignment="0" applyProtection="0">
      <alignment vertical="center"/>
    </xf>
    <xf numFmtId="302" fontId="33" fillId="16" borderId="17" xfId="0" applyNumberFormat="0" applyBorder="0" applyAlignment="0" applyProtection="0">
      <alignment vertical="center"/>
    </xf>
    <xf numFmtId="302" fontId="33" fillId="17" borderId="17" xfId="0" applyNumberFormat="0" applyBorder="0" applyAlignment="0" applyProtection="0">
      <alignment vertical="center"/>
    </xf>
    <xf numFmtId="302" fontId="32" fillId="18" borderId="17" xfId="0" applyNumberFormat="0" applyBorder="0" applyAlignment="0" applyProtection="0">
      <alignment vertical="center"/>
    </xf>
    <xf numFmtId="302" fontId="32" fillId="19" borderId="17" xfId="0" applyNumberFormat="0" applyBorder="0" applyAlignment="0" applyProtection="0">
      <alignment vertical="center"/>
    </xf>
    <xf numFmtId="302" fontId="33" fillId="20" borderId="17" xfId="0" applyNumberFormat="0" applyBorder="0" applyAlignment="0" applyProtection="0">
      <alignment vertical="center"/>
    </xf>
    <xf numFmtId="302" fontId="33" fillId="21" borderId="17" xfId="0" applyNumberFormat="0" applyBorder="0" applyAlignment="0" applyProtection="0">
      <alignment vertical="center"/>
    </xf>
    <xf numFmtId="302" fontId="32" fillId="22" borderId="17" xfId="0" applyNumberFormat="0" applyBorder="0" applyAlignment="0" applyProtection="0">
      <alignment vertical="center"/>
    </xf>
    <xf numFmtId="302" fontId="32" fillId="23" borderId="17" xfId="0" applyNumberFormat="0" applyBorder="0" applyAlignment="0" applyProtection="0">
      <alignment vertical="center"/>
    </xf>
    <xf numFmtId="302" fontId="33" fillId="24" borderId="17" xfId="0" applyNumberFormat="0" applyBorder="0" applyAlignment="0" applyProtection="0">
      <alignment vertical="center"/>
    </xf>
    <xf numFmtId="302" fontId="33" fillId="25" borderId="17" xfId="0" applyNumberFormat="0" applyBorder="0" applyAlignment="0" applyProtection="0">
      <alignment vertical="center"/>
    </xf>
    <xf numFmtId="302" fontId="32" fillId="26" borderId="17" xfId="0" applyNumberFormat="0" applyBorder="0" applyAlignment="0" applyProtection="0">
      <alignment vertical="center"/>
    </xf>
    <xf numFmtId="302" fontId="32" fillId="27" borderId="17" xfId="0" applyNumberFormat="0" applyBorder="0" applyAlignment="0" applyProtection="0">
      <alignment vertical="center"/>
    </xf>
    <xf numFmtId="302" fontId="33" fillId="28" borderId="17" xfId="0" applyNumberFormat="0" applyBorder="0" applyAlignment="0" applyProtection="0">
      <alignment vertical="center"/>
    </xf>
    <xf numFmtId="302" fontId="33" fillId="29" borderId="17" xfId="0" applyNumberFormat="0" applyBorder="0" applyAlignment="0" applyProtection="0">
      <alignment vertical="center"/>
    </xf>
    <xf numFmtId="302" fontId="32" fillId="30" borderId="17" xfId="0" applyNumberFormat="0" applyBorder="0" applyAlignment="0" applyProtection="0">
      <alignment vertical="center"/>
    </xf>
    <xf numFmtId="302" fontId="32" fillId="31" borderId="17" xfId="0" applyNumberFormat="0" applyBorder="0" applyAlignment="0" applyProtection="0">
      <alignment vertical="center"/>
    </xf>
    <xf numFmtId="302" fontId="33" fillId="32" borderId="17" xfId="0" applyNumberFormat="0" applyBorder="0" applyAlignment="0" applyProtection="0">
      <alignment vertical="center"/>
    </xf>
    <xf numFmtId="302" fontId="33" fillId="33" borderId="17" xfId="0" applyNumberFormat="0" applyBorder="0" applyAlignment="0" applyProtection="0">
      <alignment vertical="center"/>
    </xf>
    <xf numFmtId="302" fontId="32" fillId="34" borderId="17" xfId="0" applyNumberFormat="0" applyBorder="0" applyAlignment="0" applyProtection="0">
      <alignment vertical="center"/>
    </xf>
    <xf numFmtId="302" fontId="32" fillId="35" borderId="17" xfId="0" applyNumberFormat="0" applyBorder="0" applyAlignment="0" applyProtection="0">
      <alignment vertical="center"/>
    </xf>
    <xf numFmtId="302" fontId="33" fillId="36" borderId="17" xfId="0" applyNumberFormat="0" applyBorder="0" applyAlignment="0" applyProtection="0">
      <alignment vertical="center"/>
    </xf>
    <xf numFmtId="302" fontId="33" fillId="37" borderId="17" xfId="0" applyNumberFormat="0" applyBorder="0" applyAlignment="0" applyProtection="0">
      <alignment vertical="center"/>
    </xf>
    <xf numFmtId="302" fontId="32" fillId="38" borderId="17" xf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2" fontId="3" fillId="0" borderId="17" xfId="0" applyFont="1" applyAlignment="1">
      <alignment horizontal="centerContinuous"/>
    </xf>
    <xf numFmtId="302" fontId="4" fillId="0" borderId="17" xfId="0" applyFont="1" applyAlignment="1">
      <alignment horizontal="centerContinuous"/>
    </xf>
    <xf numFmtId="302" fontId="5" fillId="0" borderId="17" xfId="0" applyFont="1" applyAlignment="1">
      <alignment horizontal="centerContinuous"/>
    </xf>
    <xf numFmtId="302" fontId="5" fillId="2" borderId="1" xfId="0" applyFont="1" applyFill="1" applyBorder="1" applyAlignment="1">
      <alignment horizontal="centerContinuous"/>
    </xf>
    <xf numFmtId="302" fontId="5" fillId="0" borderId="2" xfId="0" applyFont="1" applyBorder="1"/>
    <xf numFmtId="302" fontId="5" fillId="3" borderId="1" xfId="0" applyFont="1" applyFill="1" applyBorder="1" applyAlignment="1" applyProtection="1">
      <alignment horizontal="centerContinuous"/>
      <protection locked="0"/>
    </xf>
    <xf numFmtId="302" fontId="5" fillId="0" borderId="3" xfId="0" applyFont="1" applyBorder="1"/>
    <xf numFmtId="302" fontId="5" fillId="4" borderId="1" xfId="0" applyFont="1" applyFill="1" applyBorder="1" applyAlignment="1">
      <alignment horizontal="center"/>
    </xf>
    <xf numFmtId="302" fontId="6" fillId="3" borderId="1" xfId="0" applyFont="1" applyFill="1" applyBorder="1" applyAlignment="1" applyProtection="1">
      <alignment horizontal="centerContinuous"/>
      <protection locked="0"/>
    </xf>
    <xf numFmtId="302" fontId="7" fillId="3" borderId="1" xfId="0" applyFont="1" applyFill="1" applyBorder="1" applyAlignment="1" applyProtection="1">
      <alignment horizontal="centerContinuous"/>
      <protection locked="0"/>
    </xf>
    <xf numFmtId="302" fontId="5" fillId="2" borderId="1" xfId="0" applyFont="1" applyFill="1" applyBorder="1" applyAlignment="1">
      <alignment horizontal="center" wrapText="1"/>
    </xf>
    <xf numFmtId="302" fontId="5" fillId="2" borderId="1" xfId="0" applyFont="1" applyFill="1" applyBorder="1" applyAlignment="1">
      <alignment horizontal="centerContinuous" wrapText="1"/>
    </xf>
    <xf numFmtId="300" fontId="5" fillId="3" borderId="1" xfId="0" applyNumberFormat="1" applyFont="1" applyFill="1" applyBorder="1" applyAlignment="1" applyProtection="1">
      <alignment horizontal="centerContinuous"/>
      <protection locked="0"/>
    </xf>
    <xf numFmtId="49" fontId="5" fillId="3" borderId="1" xfId="0" applyNumberFormat="1" applyFont="1" applyFill="1" applyBorder="1" applyAlignment="1" applyProtection="1">
      <alignment horizontal="centerContinuous"/>
      <protection locked="0"/>
    </xf>
    <xf numFmtId="301" fontId="5" fillId="3" borderId="1" xfId="0" applyNumberFormat="1" applyFont="1" applyFill="1" applyBorder="1" applyAlignment="1" applyProtection="1">
      <alignment horizontal="centerContinuous"/>
      <protection locked="0"/>
    </xf>
    <xf numFmtId="302" fontId="5" fillId="2" borderId="1" xfId="0" applyFont="1" applyFill="1" applyBorder="1" applyAlignment="1">
      <alignment horizontal="center"/>
    </xf>
    <xf numFmtId="302" fontId="5" fillId="3" borderId="4" xfId="0" applyFont="1" applyFill="1" applyBorder="1" applyAlignment="1" applyProtection="1">
      <alignment horizontal="centerContinuous"/>
      <protection locked="0"/>
    </xf>
    <xf numFmtId="302" fontId="5" fillId="3" borderId="5" xfId="0" applyFont="1" applyFill="1" applyBorder="1" applyAlignment="1" applyProtection="1">
      <alignment horizontal="centerContinuous"/>
      <protection locked="0"/>
    </xf>
    <xf numFmtId="300" fontId="5" fillId="3" borderId="5" xfId="0" applyNumberFormat="1" applyFont="1" applyFill="1" applyBorder="1" applyAlignment="1" applyProtection="1">
      <alignment horizontal="centerContinuous"/>
      <protection locked="0"/>
    </xf>
    <xf numFmtId="300" fontId="5" fillId="3" borderId="6" xfId="0" applyNumberFormat="1" applyFont="1" applyFill="1" applyBorder="1" applyAlignment="1" applyProtection="1">
      <alignment horizontal="centerContinuous"/>
      <protection locked="0"/>
    </xf>
    <xf numFmtId="302" fontId="5" fillId="5" borderId="17" xfId="0" applyFont="1" applyFill="1" applyAlignment="1" applyProtection="1">
      <alignment horizontal="centerContinuous"/>
      <protection locked="0"/>
    </xf>
    <xf numFmtId="300" fontId="5" fillId="5" borderId="17" xfId="0" applyNumberFormat="1" applyFont="1" applyFill="1" applyAlignment="1" applyProtection="1">
      <alignment horizontal="centerContinuous"/>
      <protection locked="0"/>
    </xf>
    <xf numFmtId="302" fontId="8" fillId="6" borderId="4" xfId="0" applyFont="1" applyFill="1" applyBorder="1" applyAlignment="1">
      <alignment horizontal="center"/>
    </xf>
    <xf numFmtId="302" fontId="5" fillId="6" borderId="7" xfId="0" applyFont="1" applyFill="1" applyBorder="1" applyAlignment="1">
      <alignment horizontal="center"/>
    </xf>
    <xf numFmtId="302" fontId="5" fillId="6" borderId="8" xfId="0" applyFont="1" applyFill="1" applyBorder="1" applyAlignment="1">
      <alignment horizontal="center"/>
    </xf>
    <xf numFmtId="302" fontId="5" fillId="6" borderId="9" xfId="0" applyFont="1" applyFill="1" applyBorder="1" applyAlignment="1">
      <alignment horizontal="center"/>
    </xf>
    <xf numFmtId="302" fontId="5" fillId="4" borderId="9" xfId="0" applyFont="1" applyFill="1" applyBorder="1"/>
    <xf numFmtId="10" fontId="5" fillId="4" borderId="9" xfId="0" applyNumberFormat="1" applyFont="1" applyFill="1" applyBorder="1"/>
    <xf numFmtId="302" fontId="5" fillId="6" borderId="10" xfId="0" applyFont="1" applyFill="1" applyBorder="1" applyAlignment="1">
      <alignment horizontal="center"/>
    </xf>
    <xf numFmtId="302" fontId="5" fillId="4" borderId="10" xfId="0" applyFont="1" applyFill="1" applyBorder="1"/>
    <xf numFmtId="10" fontId="5" fillId="4" borderId="10" xfId="0" applyNumberFormat="1" applyFont="1" applyFill="1" applyBorder="1"/>
    <xf numFmtId="302" fontId="9" fillId="5" borderId="4" xfId="0" applyFont="1" applyFill="1" applyBorder="1" applyAlignment="1">
      <alignment horizontal="center"/>
    </xf>
    <xf numFmtId="302" fontId="9" fillId="5" borderId="7" xfId="0" applyFont="1" applyFill="1" applyBorder="1"/>
    <xf numFmtId="302" fontId="9" fillId="5" borderId="7" xfId="0" applyFont="1" applyFill="1" applyBorder="1" applyAlignment="1">
      <alignment horizontal="center"/>
    </xf>
    <xf numFmtId="10" fontId="9" fillId="5" borderId="8" xfId="0" applyNumberFormat="1" applyFont="1" applyFill="1" applyBorder="1"/>
    <xf numFmtId="302" fontId="8" fillId="6" borderId="11" xfId="0" applyFont="1" applyFill="1" applyBorder="1"/>
    <xf numFmtId="302" fontId="5" fillId="4" borderId="12" xfId="0" applyFont="1" applyFill="1" applyBorder="1" applyAlignment="1">
      <alignment horizontal="center"/>
    </xf>
    <xf numFmtId="302" fontId="5" fillId="4" borderId="13" xfId="0" applyFont="1" applyFill="1" applyBorder="1" applyAlignment="1">
      <alignment horizontal="center"/>
    </xf>
    <xf numFmtId="302" fontId="5" fillId="4" borderId="14" xfId="0" applyFont="1" applyFill="1" applyBorder="1" applyAlignment="1">
      <alignment horizontal="center"/>
    </xf>
    <xf numFmtId="302" fontId="10" fillId="6" borderId="9" xfId="0" applyFont="1" applyFill="1" applyBorder="1" applyAlignment="1">
      <alignment horizontal="center" wrapText="1"/>
    </xf>
    <xf numFmtId="302" fontId="11" fillId="6" borderId="9" xfId="0" applyFont="1" applyFill="1" applyBorder="1" applyAlignment="1">
      <alignment horizontal="center" wrapText="1"/>
    </xf>
    <xf numFmtId="302" fontId="5" fillId="0" borderId="17" xfId="0" applyFont="1" applyAlignment="1">
      <alignment wrapText="1"/>
    </xf>
    <xf numFmtId="302" fontId="4" fillId="3" borderId="9" xfId="0" applyFont="1" applyFill="1" applyBorder="1" applyAlignment="1" applyProtection="1">
      <alignment vertical="top" wrapText="1"/>
      <protection locked="0"/>
    </xf>
    <xf numFmtId="302" fontId="12" fillId="3" borderId="9" xfId="0" applyFont="1" applyFill="1" applyBorder="1" applyAlignment="1" applyProtection="1">
      <alignment vertical="top" wrapText="1"/>
      <protection locked="0"/>
    </xf>
    <xf numFmtId="302" fontId="5" fillId="0" borderId="17" xfId="0" applyFont="1"/>
    <xf numFmtId="302" fontId="5" fillId="3" borderId="9" xfId="0" applyFont="1" applyFill="1" applyBorder="1" applyAlignment="1" applyProtection="1">
      <alignment vertical="top" wrapText="1"/>
      <protection locked="0"/>
    </xf>
    <xf numFmtId="302" fontId="4" fillId="3" borderId="9" xfId="0" applyFont="1" applyFill="1" applyBorder="1" applyAlignment="1" applyProtection="1">
      <alignment wrapText="1"/>
      <protection locked="0"/>
    </xf>
    <xf numFmtId="302" fontId="10" fillId="2" borderId="1" xfId="0" applyFont="1" applyFill="1" applyBorder="1" applyAlignment="1">
      <alignment horizontal="centerContinuous"/>
    </xf>
    <xf numFmtId="302" fontId="13" fillId="0" borderId="2" xfId="0" applyBorder="1"/>
    <xf numFmtId="302" fontId="4" fillId="3" borderId="1" xfId="0" applyFont="1" applyFill="1" applyBorder="1" applyAlignment="1">
      <alignment horizontal="center" wrapText="1"/>
    </xf>
    <xf numFmtId="302" fontId="4" fillId="3" borderId="1" xfId="0" applyFont="1" applyFill="1" applyBorder="1" applyAlignment="1">
      <alignment wrapText="1"/>
    </xf>
    <xf numFmtId="302" fontId="4" fillId="3" borderId="15" xfId="0" applyFont="1" applyFill="1" applyBorder="1" applyAlignment="1">
      <alignment horizontal="center" wrapText="1"/>
    </xf>
    <xf numFmtId="302" fontId="4" fillId="3" borderId="16" xfId="0" applyFont="1" applyFill="1" applyBorder="1" applyAlignment="1">
      <alignment wrapText="1"/>
    </xf>
    <xf numFmtId="302" fontId="5" fillId="7" borderId="17" xfId="0" applyNumberFormat="1" applyFont="1" applyFill="1" applyBorder="1"/>
    <xf numFmtId="302" fontId="5" fillId="3" borderId="9" xfId="0" applyNumberFormat="1" applyFont="1" applyFill="1" applyBorder="1" applyProtection="1">
      <protection locked="0"/>
    </xf>
    <xf numFmtId="302" fontId="8" fillId="7" borderId="17" xfId="0" applyNumberFormat="1" applyFont="1" applyFill="1" applyBorder="1"/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charts/chart1.xml><?xml version="1.0" encoding="utf-8"?>
<c:chartSpace xmlns:a="http://schemas.openxmlformats.org/drawingml/2006/main" xmlns:c="http://schemas.openxmlformats.org/drawingml/2006/chart" xmlns:c14="http://schemas.microsoft.com/office/drawing/2007/8/2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9"/>
          <c:y val="0.0387609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hPercent val="5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1"/>
          <c:y val="0.329469"/>
          <c:w val="0.653667"/>
          <c:h val="0.472885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'Information文档信息'!$B$38:$B$41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'Information文档信息'!$E$38:$E$41</c:f>
              <c:numCache>
                <c:formatCode>0.00%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3"/>
          <c:y val="0.387611"/>
          <c:w val="0.979199"/>
          <c:h val="0.74808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/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l="0.7" r="0.7" t="0.75" b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chart" Target="../charts/chart1.xml" /><Relationship Id="rId1" Type="http://schemas.openxmlformats.org/officeDocument/2006/relationships/image" Target="media/image1.jpe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 xmlns:c="http://schemas.openxmlformats.org/drawingml/2006/chart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1" name="图表 1" hidden="1"/>
        <xdr:cNvGraphicFramePr/>
      </xdr:nvGraphicFramePr>
      <xdr:xfrm>
        <a:off x="3895725" y="6885305"/>
        <a:ext cx="3657600" cy="2457450"/>
      </xdr:xfrm>
      <a:graphic>
        <a:graphicData uri="http://schemas.openxmlformats.org/drawingml/2006/chart">
          <c:chart r:id="rId0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Picture 4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/>
          </a:extLst>
        </a:blip>
        <a:srcRect/>
        <a:stretch>
          <a:fillRect/>
        </a:stretch>
      </xdr:blipFill>
      <xdr:spPr>
        <a:xfrm>
          <a:off x="152400" y="104775"/>
          <a:ext cx="2828925" cy="364490"/>
        </a:xfrm>
        <a:prstGeom prst="rect">
          <a:avLst/>
        </a:prstGeom>
        <a:noFill/>
        <a:ln>
          <a:noFill/>
        </a:ln>
        <a:extLst>
          <a:ext uri="{909E8E84-426E-40DD-AFC4-6F175D3DCCD1}"/>
          <a:ext uri="{91240B29-F687-4F45-9708-019B960494DF}"/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/>
  <dimension ref="XFD43"/>
  <sheetViews>
    <sheetView showGridLines="0" showOutlineSymbols="0" topLeftCell="A7" zoomScale="87" zoomScaleNormal="87" workbookViewId="0"/>
  </sheetViews>
  <sheetFormatPr defaultColWidth="11.6667" defaultRowHeight="15.75"/>
  <cols>
    <col min="1" max="1" width="1.66667" style="57" customWidth="1"/>
    <col min="2" max="13" width="10.6667" style="57" customWidth="1"/>
    <col min="14" max="15" width="7.66667" style="57" customWidth="1"/>
    <col min="16" max="26" width="11.6667" style="57"/>
  </cols>
  <sheetData>
    <row r="1" spans="1:26" ht="9.95" customHeight="1"/>
    <row r="2" spans="2:11" ht="22.5">
      <c r="B2" s="4" t="s">
        <v>267</v>
      </c>
      <c r="C2" s="4" t="s"/>
      <c r="D2" s="5" t="s"/>
      <c r="E2" s="5" t="s"/>
      <c r="F2" s="6" t="s"/>
      <c r="G2" s="6" t="s"/>
      <c r="H2" s="6" t="s"/>
      <c r="I2" s="6" t="s"/>
      <c r="J2" s="6" t="s"/>
      <c r="K2" s="6" t="s"/>
    </row>
    <row r="3" spans="2:11">
      <c r="B3" s="5" t="s"/>
      <c r="C3" s="5" t="s"/>
      <c r="D3" s="5" t="s"/>
      <c r="E3" s="6" t="s"/>
      <c r="F3" s="6" t="s"/>
      <c r="G3" s="6" t="s"/>
      <c r="H3" s="6" t="s"/>
      <c r="I3" s="6" t="s"/>
      <c r="J3" s="6" t="s"/>
      <c r="K3" s="6" t="s"/>
    </row>
    <row r="4" spans="2:11">
      <c r="B4" s="5" t="s"/>
      <c r="C4" s="5" t="s"/>
      <c r="D4" s="5" t="s"/>
      <c r="E4" s="5" t="s"/>
      <c r="F4" s="6" t="s"/>
      <c r="G4" s="6" t="s"/>
      <c r="H4" s="6" t="s"/>
      <c r="I4" s="6" t="s"/>
      <c r="J4" s="6" t="s"/>
      <c r="K4" s="6" t="s"/>
    </row>
    <row r="5" spans="1:26" ht="3.95" customHeight="1"/>
    <row r="6" spans="2:12">
      <c r="B6" s="7" t="s">
        <v>268</v>
      </c>
      <c r="C6" s="7" t="s"/>
      <c r="D6" s="7" t="s"/>
      <c r="E6" s="7" t="s"/>
      <c r="F6" s="7" t="s"/>
      <c r="G6" s="7" t="s"/>
      <c r="H6" s="7" t="s"/>
      <c r="I6" s="7" t="s"/>
      <c r="J6" s="7" t="s"/>
      <c r="K6" s="7" t="s"/>
      <c r="L6" s="8" t="s"/>
    </row>
    <row r="7" spans="2:12">
      <c r="B7" s="7" t="s">
        <v>269</v>
      </c>
      <c r="C7" s="7" t="s"/>
      <c r="D7" s="7" t="s"/>
      <c r="E7" s="9" t="s">
        <v>1</v>
      </c>
      <c r="F7" s="9" t="s"/>
      <c r="G7" s="7" t="s">
        <v>270</v>
      </c>
      <c r="H7" s="7" t="s"/>
      <c r="I7" s="7" t="s"/>
      <c r="J7" s="9" t="s">
        <v>2</v>
      </c>
      <c r="K7" s="9" t="s"/>
      <c r="L7" s="8" t="s"/>
    </row>
    <row r="8" spans="2:12">
      <c r="B8" s="7" t="s">
        <v>271</v>
      </c>
      <c r="C8" s="7" t="s"/>
      <c r="D8" s="7" t="s"/>
      <c r="E8" s="9" t="s">
        <v>3</v>
      </c>
      <c r="F8" s="9" t="s"/>
      <c r="G8" s="7" t="s">
        <v>272</v>
      </c>
      <c r="H8" s="7" t="s"/>
      <c r="I8" s="7" t="s"/>
      <c r="J8" s="9" t="s">
        <v>4</v>
      </c>
      <c r="K8" s="9" t="s"/>
      <c r="L8" s="8" t="s"/>
    </row>
    <row r="9" spans="2:12">
      <c r="B9" s="7" t="s">
        <v>273</v>
      </c>
      <c r="C9" s="7" t="s"/>
      <c r="D9" s="7" t="s"/>
      <c r="E9" s="9" t="s">
        <v>5</v>
      </c>
      <c r="F9" s="9" t="s"/>
      <c r="G9" s="7" t="s">
        <v>274</v>
      </c>
      <c r="H9" s="7" t="s"/>
      <c r="I9" s="7" t="s"/>
      <c r="J9" s="9" t="s">
        <v>6</v>
      </c>
      <c r="K9" s="9" t="s"/>
      <c r="L9" s="8" t="s"/>
    </row>
    <row r="10" spans="2:12">
      <c r="B10" s="7" t="s">
        <v>275</v>
      </c>
      <c r="C10" s="7" t="s"/>
      <c r="D10" s="7" t="s"/>
      <c r="E10" s="9" t="s">
        <v>7</v>
      </c>
      <c r="F10" s="9" t="s"/>
      <c r="G10" s="7" t="s">
        <v>274</v>
      </c>
      <c r="H10" s="7" t="s"/>
      <c r="I10" s="7" t="s"/>
      <c r="J10" s="9" t="s">
        <v>6</v>
      </c>
      <c r="K10" s="9" t="s"/>
      <c r="L10" s="8" t="s"/>
    </row>
    <row r="11" spans="2:12">
      <c r="B11" s="7" t="s">
        <v>276</v>
      </c>
      <c r="C11" s="7" t="s"/>
      <c r="D11" s="7" t="s"/>
      <c r="E11" s="9" t="s">
        <v>8</v>
      </c>
      <c r="F11" s="9" t="s"/>
      <c r="G11" s="7" t="s">
        <v>274</v>
      </c>
      <c r="H11" s="7" t="s"/>
      <c r="I11" s="7" t="s"/>
      <c r="J11" s="9" t="s">
        <v>6</v>
      </c>
      <c r="K11" s="9" t="s"/>
      <c r="L11" s="8" t="s"/>
    </row>
    <row r="12" spans="2:11" ht="3.95" customHeight="1">
      <c r="B12" s="10" t="s"/>
      <c r="C12" s="10" t="s"/>
      <c r="D12" s="10" t="s"/>
      <c r="E12" s="10" t="s"/>
      <c r="F12" s="10" t="s"/>
      <c r="G12" s="10" t="s"/>
      <c r="H12" s="10" t="s"/>
      <c r="I12" s="10" t="s"/>
      <c r="J12" s="10" t="s"/>
      <c r="K12" s="10" t="s"/>
    </row>
    <row r="13" spans="2:6">
      <c r="B13" s="7" t="s">
        <v>277</v>
      </c>
      <c r="C13" s="7" t="s"/>
      <c r="D13" s="7" t="s"/>
      <c r="E13" s="11">
        <f>=COUNTA('Test Cases测试用例'!A:A)-1</f>
        <v>32</v>
      </c>
      <c r="F13" s="8" t="s"/>
    </row>
    <row r="14" spans="2:5" ht="3.95" customHeight="1">
      <c r="B14" s="10" t="s"/>
      <c r="C14" s="10" t="s"/>
      <c r="D14" s="10" t="s"/>
      <c r="E14" s="10" t="s"/>
    </row>
    <row r="15" spans="2:12">
      <c r="B15" s="7" t="s">
        <v>278</v>
      </c>
      <c r="C15" s="7" t="s"/>
      <c r="D15" s="7" t="s"/>
      <c r="E15" s="7" t="s"/>
      <c r="F15" s="7" t="s"/>
      <c r="G15" s="7" t="s"/>
      <c r="H15" s="7" t="s"/>
      <c r="I15" s="7" t="s"/>
      <c r="J15" s="7" t="s"/>
      <c r="K15" s="7" t="s"/>
      <c r="L15" s="8" t="s"/>
    </row>
    <row r="16" spans="2:12" ht="18.95" customHeight="1">
      <c r="B16" s="12" t="s">
        <v>9</v>
      </c>
      <c r="C16" s="13" t="s"/>
      <c r="D16" s="9" t="s"/>
      <c r="E16" s="9" t="s"/>
      <c r="F16" s="9" t="s"/>
      <c r="G16" s="9" t="s"/>
      <c r="H16" s="9" t="s"/>
      <c r="I16" s="9" t="s"/>
      <c r="J16" s="9" t="s"/>
      <c r="K16" s="9" t="s"/>
      <c r="L16" s="8" t="s"/>
    </row>
    <row r="17" spans="2:11" ht="3.95" customHeight="1">
      <c r="B17" s="10" t="s"/>
      <c r="C17" s="10" t="s"/>
      <c r="D17" s="10" t="s"/>
      <c r="E17" s="10" t="s"/>
      <c r="F17" s="10" t="s"/>
      <c r="G17" s="10" t="s"/>
      <c r="H17" s="10" t="s"/>
      <c r="I17" s="10" t="s"/>
      <c r="J17" s="10" t="s"/>
      <c r="K17" s="10" t="s"/>
    </row>
    <row r="18" spans="2:12">
      <c r="B18" s="7" t="s">
        <v>279</v>
      </c>
      <c r="C18" s="7" t="s"/>
      <c r="D18" s="7" t="s"/>
      <c r="E18" s="7" t="s"/>
      <c r="F18" s="7" t="s"/>
      <c r="G18" s="7" t="s"/>
      <c r="H18" s="7" t="s"/>
      <c r="I18" s="7" t="s"/>
      <c r="J18" s="7" t="s"/>
      <c r="K18" s="7" t="s"/>
      <c r="L18" s="8" t="s"/>
    </row>
    <row r="19" spans="2:12" ht="45.75">
      <c r="B19" s="14" t="s">
        <v>280</v>
      </c>
      <c r="C19" s="14" t="s">
        <v>281</v>
      </c>
      <c r="D19" s="14" t="s">
        <v>282</v>
      </c>
      <c r="E19" s="15" t="s">
        <v>283</v>
      </c>
      <c r="F19" s="15" t="s"/>
      <c r="G19" s="15" t="s"/>
      <c r="H19" s="15" t="s"/>
      <c r="I19" s="15" t="s"/>
      <c r="J19" s="15" t="s"/>
      <c r="K19" s="14" t="s">
        <v>284</v>
      </c>
      <c r="L19" s="8" t="s"/>
    </row>
    <row r="20" spans="2:12">
      <c r="B20" s="16" t="s">
        <v>10</v>
      </c>
      <c r="C20" s="17" t="s">
        <v>11</v>
      </c>
      <c r="D20" s="9" t="s">
        <v>12</v>
      </c>
      <c r="E20" s="9" t="s">
        <v>13</v>
      </c>
      <c r="F20" s="9" t="s"/>
      <c r="G20" s="9" t="s"/>
      <c r="H20" s="9" t="s"/>
      <c r="I20" s="9" t="s"/>
      <c r="J20" s="9" t="s"/>
      <c r="K20" s="9" t="s">
        <v>14</v>
      </c>
      <c r="L20" s="8" t="s"/>
    </row>
    <row r="21" spans="2:12">
      <c r="B21" s="16" t="s">
        <v>10</v>
      </c>
      <c r="C21" s="17" t="s">
        <v>15</v>
      </c>
      <c r="D21" s="9">
        <v>0.1</v>
      </c>
      <c r="E21" s="9" t="s">
        <v>16</v>
      </c>
      <c r="F21" s="9" t="s"/>
      <c r="G21" s="9" t="s"/>
      <c r="H21" s="9" t="s"/>
      <c r="I21" s="9" t="s"/>
      <c r="J21" s="9" t="s"/>
      <c r="K21" s="9" t="s">
        <v>14</v>
      </c>
      <c r="L21" s="8" t="s"/>
    </row>
    <row r="22" spans="2:12">
      <c r="B22" s="16" t="s"/>
      <c r="C22" s="17" t="s"/>
      <c r="D22" s="9" t="s">
        <v>17</v>
      </c>
      <c r="E22" s="9" t="s">
        <v>285</v>
      </c>
      <c r="F22" s="9" t="s"/>
      <c r="G22" s="9" t="s"/>
      <c r="H22" s="9" t="s"/>
      <c r="I22" s="9" t="s"/>
      <c r="J22" s="9" t="s"/>
      <c r="K22" s="9" t="s">
        <v>286</v>
      </c>
      <c r="L22" s="8" t="s"/>
    </row>
    <row r="23" spans="2:12">
      <c r="B23" s="16" t="s">
        <v>18</v>
      </c>
      <c r="C23" s="17">
        <v>1.02</v>
      </c>
      <c r="D23" s="9" t="s">
        <v>17</v>
      </c>
      <c r="E23" s="9" t="s">
        <v>285</v>
      </c>
      <c r="F23" s="9" t="s"/>
      <c r="G23" s="9" t="s"/>
      <c r="H23" s="9" t="s"/>
      <c r="I23" s="9" t="s"/>
      <c r="J23" s="9" t="s"/>
      <c r="K23" s="9" t="s">
        <v>286</v>
      </c>
      <c r="L23" s="8" t="s"/>
    </row>
    <row r="24" spans="2:12">
      <c r="B24" s="16" t="s">
        <v>19</v>
      </c>
      <c r="C24" s="17" t="s">
        <v>19</v>
      </c>
      <c r="D24" s="18" t="s">
        <v>19</v>
      </c>
      <c r="E24" s="9" t="s">
        <v>19</v>
      </c>
      <c r="F24" s="9" t="s"/>
      <c r="G24" s="9" t="s"/>
      <c r="H24" s="9" t="s"/>
      <c r="I24" s="9" t="s"/>
      <c r="J24" s="9" t="s"/>
      <c r="K24" s="9" t="s">
        <v>286</v>
      </c>
      <c r="L24" s="8" t="s"/>
    </row>
    <row r="25" spans="2:12">
      <c r="B25" s="16" t="s">
        <v>18</v>
      </c>
      <c r="C25" s="17">
        <v>2</v>
      </c>
      <c r="D25" s="9" t="s">
        <v>17</v>
      </c>
      <c r="E25" s="9" t="s">
        <v>285</v>
      </c>
      <c r="F25" s="9" t="s"/>
      <c r="G25" s="9" t="s"/>
      <c r="H25" s="9" t="s"/>
      <c r="I25" s="9" t="s"/>
      <c r="J25" s="9" t="s"/>
      <c r="K25" s="9" t="s">
        <v>19</v>
      </c>
      <c r="L25" s="8" t="s"/>
    </row>
    <row r="26" spans="2:11" ht="3.95" customHeight="1">
      <c r="B26" s="10" t="s"/>
      <c r="C26" s="10" t="s"/>
      <c r="D26" s="10" t="s"/>
      <c r="E26" s="10" t="s"/>
      <c r="F26" s="10" t="s"/>
      <c r="G26" s="10" t="s"/>
      <c r="H26" s="10" t="s"/>
      <c r="I26" s="10" t="s"/>
      <c r="J26" s="10" t="s"/>
      <c r="K26" s="10" t="s"/>
    </row>
    <row r="27" spans="2:12">
      <c r="B27" s="7" t="s">
        <v>287</v>
      </c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8" t="s"/>
    </row>
    <row r="28" spans="2:12">
      <c r="B28" s="19" t="s">
        <v>20</v>
      </c>
      <c r="C28" s="7" t="s">
        <v>288</v>
      </c>
      <c r="D28" s="7" t="s"/>
      <c r="E28" s="7" t="s"/>
      <c r="F28" s="7" t="s"/>
      <c r="G28" s="7" t="s"/>
      <c r="H28" s="7" t="s"/>
      <c r="I28" s="7" t="s"/>
      <c r="J28" s="7" t="s">
        <v>289</v>
      </c>
      <c r="K28" s="7" t="s"/>
      <c r="L28" s="8" t="s"/>
    </row>
    <row r="29" spans="2:12">
      <c r="B29" s="9">
        <v>1</v>
      </c>
      <c r="C29" s="9" t="s">
        <v>21</v>
      </c>
      <c r="D29" s="9" t="s"/>
      <c r="E29" s="9" t="s"/>
      <c r="F29" s="9" t="s"/>
      <c r="G29" s="9" t="s"/>
      <c r="H29" s="9" t="s"/>
      <c r="I29" s="9" t="s"/>
      <c r="J29" s="16" t="s">
        <v>18</v>
      </c>
      <c r="K29" s="16" t="s"/>
      <c r="L29" s="8" t="s"/>
    </row>
    <row r="30" spans="2:12">
      <c r="B30" s="9">
        <v>2</v>
      </c>
      <c r="C30" s="9" t="s">
        <v>22</v>
      </c>
      <c r="D30" s="9" t="s"/>
      <c r="E30" s="9" t="s"/>
      <c r="F30" s="9" t="s"/>
      <c r="G30" s="9" t="s"/>
      <c r="H30" s="9" t="s"/>
      <c r="I30" s="9" t="s"/>
      <c r="J30" s="16" t="s">
        <v>18</v>
      </c>
      <c r="K30" s="16" t="s"/>
      <c r="L30" s="8" t="s"/>
    </row>
    <row r="31" spans="2:12">
      <c r="B31" s="9">
        <v>3</v>
      </c>
      <c r="C31" s="9" t="s">
        <v>23</v>
      </c>
      <c r="D31" s="9" t="s"/>
      <c r="E31" s="9" t="s"/>
      <c r="F31" s="9" t="s"/>
      <c r="G31" s="9" t="s"/>
      <c r="H31" s="9" t="s"/>
      <c r="I31" s="9" t="s"/>
      <c r="J31" s="16" t="s">
        <v>18</v>
      </c>
      <c r="K31" s="16" t="s"/>
      <c r="L31" s="8" t="s"/>
    </row>
    <row r="32" spans="2:12">
      <c r="B32" s="9">
        <v>4</v>
      </c>
      <c r="C32" s="9" t="s">
        <v>24</v>
      </c>
      <c r="D32" s="9" t="s"/>
      <c r="E32" s="9" t="s"/>
      <c r="F32" s="9" t="s"/>
      <c r="G32" s="9" t="s"/>
      <c r="H32" s="9" t="s"/>
      <c r="I32" s="9" t="s"/>
      <c r="J32" s="16" t="s">
        <v>18</v>
      </c>
      <c r="K32" s="16" t="s"/>
      <c r="L32" s="8" t="s"/>
    </row>
    <row r="33" spans="2:11">
      <c r="B33" s="20">
        <v>5</v>
      </c>
      <c r="C33" s="21" t="s">
        <v>25</v>
      </c>
      <c r="D33" s="21" t="s"/>
      <c r="E33" s="21" t="s"/>
      <c r="F33" s="21" t="s"/>
      <c r="G33" s="21" t="s"/>
      <c r="H33" s="21" t="s"/>
      <c r="I33" s="21" t="s"/>
      <c r="J33" s="22" t="s">
        <v>18</v>
      </c>
      <c r="K33" s="23" t="s"/>
    </row>
    <row r="34" spans="2:11">
      <c r="B34" s="24" t="s"/>
      <c r="C34" s="24" t="s"/>
      <c r="D34" s="24" t="s"/>
      <c r="E34" s="24" t="s"/>
      <c r="F34" s="24" t="s"/>
      <c r="G34" s="24" t="s"/>
      <c r="H34" s="24" t="s"/>
      <c r="I34" s="24" t="s"/>
      <c r="J34" s="25" t="s"/>
      <c r="K34" s="25" t="s"/>
    </row>
    <row r="37" spans="2:5" ht="15" customHeight="1">
      <c r="B37" s="26" t="s">
        <v>26</v>
      </c>
      <c r="C37" s="27" t="s"/>
      <c r="D37" s="27" t="s"/>
      <c r="E37" s="28" t="s"/>
    </row>
    <row r="38" spans="2:5">
      <c r="B38" s="29" t="s">
        <v>290</v>
      </c>
      <c r="C38" s="30">
        <f t="array" ref="C38">=IF($E$13=0,0,COUNTIF('Test Cases测试用例'!$L:$L,"=OK"))</f>
        <v>30</v>
      </c>
      <c r="D38" s="29" t="s">
        <v>291</v>
      </c>
      <c r="E38" s="31">
        <f>=IF(E13=0,0,C38/E13)</f>
        <v>0.9375</v>
      </c>
    </row>
    <row r="39" spans="2:5">
      <c r="B39" s="29" t="s">
        <v>292</v>
      </c>
      <c r="C39" s="30">
        <f t="array" ref="C39">=IF($E$13=0,0,COUNTIF('Test Cases测试用例'!$L:$L,"=POK"))</f>
        <v>0</v>
      </c>
      <c r="D39" s="29" t="s">
        <v>293</v>
      </c>
      <c r="E39" s="31">
        <f>=IF(E13=0,0,C39/E13)</f>
        <v>0</v>
      </c>
    </row>
    <row r="40" spans="2:5">
      <c r="B40" s="29" t="s">
        <v>294</v>
      </c>
      <c r="C40" s="30">
        <f t="array" ref="C40">=IF($E$13=0,0,COUNTIF('Test Cases测试用例'!$L:$L,"=NG"))</f>
        <v>2</v>
      </c>
      <c r="D40" s="29" t="s">
        <v>295</v>
      </c>
      <c r="E40" s="31">
        <f>=IF(E13=0,0,C40/E13)</f>
        <v>0.0625</v>
      </c>
    </row>
    <row r="41" spans="2:5">
      <c r="B41" s="32" t="s">
        <v>296</v>
      </c>
      <c r="C41" s="33">
        <f t="array" ref="C41">=IF($E$13=0,0,COUNTIF('Test Cases测试用例'!$L:$L,"=NT"))</f>
        <v>0</v>
      </c>
      <c r="D41" s="32" t="s">
        <v>297</v>
      </c>
      <c r="E41" s="34">
        <f>=IF(E13=0,0,C41/E13)</f>
        <v>0</v>
      </c>
    </row>
    <row r="42" spans="2:5" ht="3" customHeight="1">
      <c r="B42" s="35" t="s"/>
      <c r="C42" s="36" t="s"/>
      <c r="D42" s="37" t="s"/>
      <c r="E42" s="38" t="s"/>
    </row>
    <row r="43" spans="2:5">
      <c r="B43" s="39" t="s">
        <v>27</v>
      </c>
      <c r="C43" s="40">
        <f>=E13</f>
        <v>32</v>
      </c>
      <c r="D43" s="41" t="s"/>
      <c r="E43" s="42" t="s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 alignWithMargins="0"/>
  <drawing r:id="rId0"/>
</worksheet>
</file>

<file path=xl/worksheets/sheet2.xml><?xml version="1.0" encoding="utf-8"?>
<worksheet xmlns="http://schemas.openxmlformats.org/spreadsheetml/2006/main">
  <sheetPr codeName="Sheet2">
    <outlinePr summaryBelow="0" summaryRight="0"/>
  </sheetPr>
  <dimension ref="XFD200"/>
  <sheetViews>
    <sheetView showGridLines="0" tabSelected="1" zoomScale="85" zoomScaleNormal="85" workbookViewId="0"/>
  </sheetViews>
  <sheetFormatPr defaultColWidth="11.6667" defaultRowHeight="15.75"/>
  <cols>
    <col min="1" max="1" width="16" style="58" customWidth="1"/>
    <col min="2" max="2" width="25" style="58" customWidth="1"/>
    <col min="3" max="3" width="28" style="58" customWidth="1"/>
    <col min="4" max="4" width="10" style="58" customWidth="1"/>
    <col min="5" max="5" width="14" style="58" customWidth="1"/>
    <col min="6" max="6" width="10" style="58" customWidth="1"/>
    <col min="7" max="7" width="30" style="58" customWidth="1"/>
    <col min="8" max="8" width="46" style="58" customWidth="1"/>
    <col min="9" max="9" width="34" style="58" customWidth="1"/>
    <col min="10" max="10" width="46" style="58" customWidth="1"/>
    <col min="11" max="11" width="18" style="58" customWidth="1"/>
    <col min="12" max="12" width="12" style="58" customWidth="1"/>
    <col min="13" max="13" width="22" style="58" customWidth="1"/>
    <col min="14" max="14" width="3.44444" style="57" hidden="1" customWidth="1"/>
    <col min="15" max="26" width="11.6667" style="57"/>
  </cols>
  <sheetData>
    <row r="1" spans="1:26" ht="45.75">
      <c r="A1" s="43" t="s">
        <v>298</v>
      </c>
      <c r="B1" s="43" t="s">
        <v>299</v>
      </c>
      <c r="C1" s="43" t="s">
        <v>300</v>
      </c>
      <c r="D1" s="43" t="s">
        <v>301</v>
      </c>
      <c r="E1" s="44" t="s">
        <v>28</v>
      </c>
      <c r="F1" s="44" t="s">
        <v>29</v>
      </c>
      <c r="G1" s="43" t="s">
        <v>302</v>
      </c>
      <c r="H1" s="43" t="s">
        <v>303</v>
      </c>
      <c r="I1" s="43" t="s">
        <v>304</v>
      </c>
      <c r="J1" s="43" t="s">
        <v>305</v>
      </c>
      <c r="K1" s="43" t="s">
        <v>306</v>
      </c>
      <c r="L1" s="43" t="s">
        <v>307</v>
      </c>
      <c r="M1" s="43" t="s">
        <v>308</v>
      </c>
      <c r="N1" s="45" t="s"/>
      <c r="O1" s="45" t="s"/>
      <c r="P1" s="45" t="s"/>
      <c r="Q1" s="45" t="s"/>
      <c r="R1" s="45" t="s"/>
      <c r="S1" s="45" t="s"/>
      <c r="T1" s="45" t="s"/>
      <c r="U1" s="45" t="s"/>
      <c r="V1" s="45" t="s"/>
      <c r="W1" s="45" t="s"/>
      <c r="X1" s="45" t="s"/>
      <c r="Y1" s="45" t="s"/>
      <c r="Z1" s="45" t="s"/>
    </row>
    <row r="2" spans="1:14" ht="84" customHeight="1">
      <c r="A2" s="46" t="s">
        <v>30</v>
      </c>
      <c r="B2" s="46" t="s">
        <v>31</v>
      </c>
      <c r="C2" s="46" t="s">
        <v>32</v>
      </c>
      <c r="D2" s="46" t="s">
        <v>33</v>
      </c>
      <c r="E2" s="46" t="s">
        <v>34</v>
      </c>
      <c r="F2" s="46" t="s">
        <v>35</v>
      </c>
      <c r="G2" s="46" t="s">
        <v>36</v>
      </c>
      <c r="H2" s="46" t="s">
        <v>37</v>
      </c>
      <c r="I2" s="46" t="s">
        <v>38</v>
      </c>
      <c r="J2" s="47" t="s">
        <v>309</v>
      </c>
      <c r="K2" s="47" t="s">
        <v>236</v>
      </c>
      <c r="L2" s="46" t="s">
        <v>41</v>
      </c>
      <c r="M2" s="46" t="s">
        <v>40</v>
      </c>
      <c r="N2" s="48" t="s"/>
    </row>
    <row r="3" spans="1:14" ht="84" customHeight="1">
      <c r="A3" s="46" t="s">
        <v>42</v>
      </c>
      <c r="B3" s="46" t="s">
        <v>31</v>
      </c>
      <c r="C3" s="46" t="s">
        <v>43</v>
      </c>
      <c r="D3" s="46" t="s">
        <v>33</v>
      </c>
      <c r="E3" s="46" t="s">
        <v>34</v>
      </c>
      <c r="F3" s="46" t="s">
        <v>35</v>
      </c>
      <c r="G3" s="46" t="s">
        <v>36</v>
      </c>
      <c r="H3" s="46" t="s">
        <v>44</v>
      </c>
      <c r="I3" s="46" t="s">
        <v>45</v>
      </c>
      <c r="J3" s="46" t="s">
        <v>46</v>
      </c>
      <c r="K3" s="46" t="s">
        <v>237</v>
      </c>
      <c r="L3" s="46" t="s">
        <v>41</v>
      </c>
      <c r="M3" s="46" t="s">
        <v>47</v>
      </c>
      <c r="N3" s="48" t="s"/>
    </row>
    <row r="4" spans="1:14" ht="84" customHeight="1">
      <c r="A4" s="46" t="s">
        <v>48</v>
      </c>
      <c r="B4" s="46" t="s">
        <v>31</v>
      </c>
      <c r="C4" s="46" t="s">
        <v>49</v>
      </c>
      <c r="D4" s="49" t="s">
        <v>33</v>
      </c>
      <c r="E4" s="46" t="s">
        <v>34</v>
      </c>
      <c r="F4" s="46" t="s">
        <v>35</v>
      </c>
      <c r="G4" s="46" t="s">
        <v>36</v>
      </c>
      <c r="H4" s="46" t="s">
        <v>50</v>
      </c>
      <c r="I4" s="46" t="s">
        <v>51</v>
      </c>
      <c r="J4" s="46" t="s">
        <v>52</v>
      </c>
      <c r="K4" s="46" t="s">
        <v>238</v>
      </c>
      <c r="L4" s="46" t="s">
        <v>41</v>
      </c>
      <c r="M4" s="46" t="s">
        <v>53</v>
      </c>
      <c r="N4" s="48" t="s"/>
    </row>
    <row r="5" spans="1:14" ht="84" customHeight="1">
      <c r="A5" s="46" t="s">
        <v>55</v>
      </c>
      <c r="B5" s="46" t="s">
        <v>31</v>
      </c>
      <c r="C5" s="46" t="s">
        <v>56</v>
      </c>
      <c r="D5" s="46" t="s">
        <v>33</v>
      </c>
      <c r="E5" s="46" t="s">
        <v>34</v>
      </c>
      <c r="F5" s="46" t="s">
        <v>35</v>
      </c>
      <c r="G5" s="46" t="s">
        <v>36</v>
      </c>
      <c r="H5" s="46" t="s">
        <v>57</v>
      </c>
      <c r="I5" s="46" t="s">
        <v>58</v>
      </c>
      <c r="J5" s="46" t="s">
        <v>59</v>
      </c>
      <c r="K5" s="46" t="s">
        <v>239</v>
      </c>
      <c r="L5" s="46" t="s">
        <v>41</v>
      </c>
      <c r="M5" s="46" t="s">
        <v>60</v>
      </c>
      <c r="N5" s="48" t="s"/>
    </row>
    <row r="6" spans="1:13" ht="84" customHeight="1">
      <c r="A6" s="46" t="s">
        <v>62</v>
      </c>
      <c r="B6" s="46" t="s">
        <v>31</v>
      </c>
      <c r="C6" s="46" t="s">
        <v>63</v>
      </c>
      <c r="D6" s="46" t="s">
        <v>33</v>
      </c>
      <c r="E6" s="46" t="s">
        <v>34</v>
      </c>
      <c r="F6" s="46" t="s">
        <v>35</v>
      </c>
      <c r="G6" s="46" t="s">
        <v>36</v>
      </c>
      <c r="H6" s="46" t="s">
        <v>64</v>
      </c>
      <c r="I6" s="46" t="s">
        <v>58</v>
      </c>
      <c r="J6" s="46" t="s">
        <v>65</v>
      </c>
      <c r="K6" s="46" t="s">
        <v>240</v>
      </c>
      <c r="L6" s="46" t="s">
        <v>41</v>
      </c>
      <c r="M6" s="46" t="s">
        <v>66</v>
      </c>
    </row>
    <row r="7" spans="1:13" ht="84" customHeight="1">
      <c r="A7" s="46" t="s">
        <v>67</v>
      </c>
      <c r="B7" s="46" t="s">
        <v>68</v>
      </c>
      <c r="C7" s="46" t="s">
        <v>69</v>
      </c>
      <c r="D7" s="46" t="s">
        <v>33</v>
      </c>
      <c r="E7" s="46" t="s">
        <v>34</v>
      </c>
      <c r="F7" s="46" t="s">
        <v>35</v>
      </c>
      <c r="G7" s="46" t="s">
        <v>36</v>
      </c>
      <c r="H7" s="46" t="s">
        <v>70</v>
      </c>
      <c r="I7" s="46" t="s">
        <v>71</v>
      </c>
      <c r="J7" s="46" t="s">
        <v>72</v>
      </c>
      <c r="K7" s="46" t="s">
        <v>241</v>
      </c>
      <c r="L7" s="46" t="s">
        <v>41</v>
      </c>
      <c r="M7" s="46" t="s">
        <v>73</v>
      </c>
    </row>
    <row r="8" spans="1:13" ht="84" customHeight="1">
      <c r="A8" s="46" t="s">
        <v>74</v>
      </c>
      <c r="B8" s="46" t="s">
        <v>68</v>
      </c>
      <c r="C8" s="46" t="s">
        <v>75</v>
      </c>
      <c r="D8" s="46" t="s">
        <v>33</v>
      </c>
      <c r="E8" s="46" t="s">
        <v>34</v>
      </c>
      <c r="F8" s="46" t="s">
        <v>35</v>
      </c>
      <c r="G8" s="46" t="s">
        <v>36</v>
      </c>
      <c r="H8" s="46" t="s">
        <v>76</v>
      </c>
      <c r="I8" s="46" t="s">
        <v>77</v>
      </c>
      <c r="J8" s="46" t="s">
        <v>78</v>
      </c>
      <c r="K8" s="46" t="s">
        <v>242</v>
      </c>
      <c r="L8" s="46" t="s">
        <v>41</v>
      </c>
      <c r="M8" s="46" t="s">
        <v>79</v>
      </c>
    </row>
    <row r="9" spans="1:13" ht="84" customHeight="1">
      <c r="A9" s="46" t="s">
        <v>80</v>
      </c>
      <c r="B9" s="46" t="s">
        <v>68</v>
      </c>
      <c r="C9" s="46" t="s">
        <v>81</v>
      </c>
      <c r="D9" s="46" t="s">
        <v>33</v>
      </c>
      <c r="E9" s="46" t="s">
        <v>34</v>
      </c>
      <c r="F9" s="46" t="s">
        <v>35</v>
      </c>
      <c r="G9" s="46" t="s">
        <v>36</v>
      </c>
      <c r="H9" s="46" t="s">
        <v>82</v>
      </c>
      <c r="I9" s="46" t="s">
        <v>83</v>
      </c>
      <c r="J9" s="46" t="s">
        <v>84</v>
      </c>
      <c r="K9" s="46" t="s">
        <v>243</v>
      </c>
      <c r="L9" s="46" t="s">
        <v>41</v>
      </c>
      <c r="M9" s="46" t="s">
        <v>85</v>
      </c>
    </row>
    <row r="10" spans="1:13" ht="84" customHeight="1">
      <c r="A10" s="46" t="s">
        <v>86</v>
      </c>
      <c r="B10" s="46" t="s">
        <v>68</v>
      </c>
      <c r="C10" s="46" t="s">
        <v>87</v>
      </c>
      <c r="D10" s="46" t="s">
        <v>88</v>
      </c>
      <c r="E10" s="46" t="s">
        <v>34</v>
      </c>
      <c r="F10" s="46" t="s">
        <v>35</v>
      </c>
      <c r="G10" s="46" t="s">
        <v>36</v>
      </c>
      <c r="H10" s="46" t="s">
        <v>89</v>
      </c>
      <c r="I10" s="46" t="s">
        <v>90</v>
      </c>
      <c r="J10" s="46" t="s">
        <v>91</v>
      </c>
      <c r="K10" s="46" t="s">
        <v>244</v>
      </c>
      <c r="L10" s="46" t="s">
        <v>41</v>
      </c>
      <c r="M10" s="46" t="s">
        <v>92</v>
      </c>
    </row>
    <row r="11" spans="1:13" ht="84" customHeight="1">
      <c r="A11" s="46" t="s">
        <v>93</v>
      </c>
      <c r="B11" s="46" t="s">
        <v>68</v>
      </c>
      <c r="C11" s="46" t="s">
        <v>94</v>
      </c>
      <c r="D11" s="46" t="s">
        <v>33</v>
      </c>
      <c r="E11" s="46" t="s">
        <v>34</v>
      </c>
      <c r="F11" s="46" t="s">
        <v>35</v>
      </c>
      <c r="G11" s="46" t="s">
        <v>36</v>
      </c>
      <c r="H11" s="46" t="s">
        <v>95</v>
      </c>
      <c r="I11" s="46" t="s">
        <v>58</v>
      </c>
      <c r="J11" s="46" t="s">
        <v>96</v>
      </c>
      <c r="K11" s="46" t="s">
        <v>245</v>
      </c>
      <c r="L11" s="46" t="s">
        <v>41</v>
      </c>
      <c r="M11" s="46" t="s">
        <v>97</v>
      </c>
    </row>
    <row r="12" spans="1:13" ht="84" customHeight="1">
      <c r="A12" s="46" t="s">
        <v>98</v>
      </c>
      <c r="B12" s="46" t="s">
        <v>99</v>
      </c>
      <c r="C12" s="46" t="s">
        <v>100</v>
      </c>
      <c r="D12" s="46" t="s">
        <v>33</v>
      </c>
      <c r="E12" s="46" t="s">
        <v>34</v>
      </c>
      <c r="F12" s="46" t="s">
        <v>35</v>
      </c>
      <c r="G12" s="46" t="s">
        <v>36</v>
      </c>
      <c r="H12" s="46" t="s">
        <v>101</v>
      </c>
      <c r="I12" s="46" t="s">
        <v>102</v>
      </c>
      <c r="J12" s="46" t="s">
        <v>103</v>
      </c>
      <c r="K12" s="46" t="s">
        <v>246</v>
      </c>
      <c r="L12" s="46" t="s">
        <v>41</v>
      </c>
      <c r="M12" s="46" t="s">
        <v>104</v>
      </c>
    </row>
    <row r="13" spans="1:13" ht="84" customHeight="1">
      <c r="A13" s="46" t="s">
        <v>105</v>
      </c>
      <c r="B13" s="46" t="s">
        <v>99</v>
      </c>
      <c r="C13" s="46" t="s">
        <v>106</v>
      </c>
      <c r="D13" s="46" t="s">
        <v>33</v>
      </c>
      <c r="E13" s="46" t="s">
        <v>34</v>
      </c>
      <c r="F13" s="46" t="s">
        <v>35</v>
      </c>
      <c r="G13" s="46" t="s">
        <v>36</v>
      </c>
      <c r="H13" s="46" t="s">
        <v>107</v>
      </c>
      <c r="I13" s="46" t="s">
        <v>108</v>
      </c>
      <c r="J13" s="46" t="s">
        <v>109</v>
      </c>
      <c r="K13" s="46" t="s">
        <v>247</v>
      </c>
      <c r="L13" s="46" t="s">
        <v>41</v>
      </c>
      <c r="M13" s="46" t="s">
        <v>110</v>
      </c>
    </row>
    <row r="14" spans="1:13" ht="84" customHeight="1">
      <c r="A14" s="46" t="s">
        <v>111</v>
      </c>
      <c r="B14" s="46" t="s">
        <v>99</v>
      </c>
      <c r="C14" s="46" t="s">
        <v>112</v>
      </c>
      <c r="D14" s="46" t="s">
        <v>33</v>
      </c>
      <c r="E14" s="46" t="s">
        <v>34</v>
      </c>
      <c r="F14" s="46" t="s">
        <v>35</v>
      </c>
      <c r="G14" s="46" t="s">
        <v>36</v>
      </c>
      <c r="H14" s="46" t="s">
        <v>113</v>
      </c>
      <c r="I14" s="46" t="s">
        <v>114</v>
      </c>
      <c r="J14" s="46" t="s">
        <v>115</v>
      </c>
      <c r="K14" s="46" t="s">
        <v>248</v>
      </c>
      <c r="L14" s="46" t="s">
        <v>41</v>
      </c>
      <c r="M14" s="46" t="s">
        <v>116</v>
      </c>
    </row>
    <row r="15" spans="1:13" ht="84" customHeight="1">
      <c r="A15" s="46" t="s">
        <v>117</v>
      </c>
      <c r="B15" s="46" t="s">
        <v>99</v>
      </c>
      <c r="C15" s="46" t="s">
        <v>118</v>
      </c>
      <c r="D15" s="46" t="s">
        <v>33</v>
      </c>
      <c r="E15" s="46" t="s">
        <v>34</v>
      </c>
      <c r="F15" s="46" t="s">
        <v>35</v>
      </c>
      <c r="G15" s="46" t="s">
        <v>36</v>
      </c>
      <c r="H15" s="46" t="s">
        <v>119</v>
      </c>
      <c r="I15" s="46" t="s">
        <v>120</v>
      </c>
      <c r="J15" s="46" t="s">
        <v>121</v>
      </c>
      <c r="K15" s="46" t="s">
        <v>249</v>
      </c>
      <c r="L15" s="46" t="s">
        <v>41</v>
      </c>
      <c r="M15" s="46" t="s">
        <v>122</v>
      </c>
    </row>
    <row r="16" spans="1:13" ht="84" customHeight="1">
      <c r="A16" s="46" t="s">
        <v>123</v>
      </c>
      <c r="B16" s="46" t="s">
        <v>99</v>
      </c>
      <c r="C16" s="46" t="s">
        <v>124</v>
      </c>
      <c r="D16" s="46" t="s">
        <v>88</v>
      </c>
      <c r="E16" s="46" t="s">
        <v>34</v>
      </c>
      <c r="F16" s="46" t="s">
        <v>35</v>
      </c>
      <c r="G16" s="46" t="s">
        <v>36</v>
      </c>
      <c r="H16" s="46" t="s">
        <v>125</v>
      </c>
      <c r="I16" s="46" t="s">
        <v>126</v>
      </c>
      <c r="J16" s="46" t="s">
        <v>127</v>
      </c>
      <c r="K16" s="46" t="s">
        <v>250</v>
      </c>
      <c r="L16" s="46" t="s">
        <v>41</v>
      </c>
      <c r="M16" s="46" t="s">
        <v>128</v>
      </c>
    </row>
    <row r="17" spans="1:13" ht="84" customHeight="1">
      <c r="A17" s="46" t="s">
        <v>129</v>
      </c>
      <c r="B17" s="46" t="s">
        <v>130</v>
      </c>
      <c r="C17" s="46" t="s">
        <v>131</v>
      </c>
      <c r="D17" s="46" t="s">
        <v>33</v>
      </c>
      <c r="E17" s="46" t="s">
        <v>34</v>
      </c>
      <c r="F17" s="46" t="s">
        <v>35</v>
      </c>
      <c r="G17" s="46" t="s">
        <v>36</v>
      </c>
      <c r="H17" s="46" t="s">
        <v>132</v>
      </c>
      <c r="I17" s="46" t="s">
        <v>133</v>
      </c>
      <c r="J17" s="46" t="s">
        <v>134</v>
      </c>
      <c r="K17" s="46" t="s">
        <v>251</v>
      </c>
      <c r="L17" s="46" t="s">
        <v>54</v>
      </c>
      <c r="M17" s="46" t="s">
        <v>135</v>
      </c>
    </row>
    <row r="18" spans="1:13" ht="84" customHeight="1">
      <c r="A18" s="46" t="s">
        <v>136</v>
      </c>
      <c r="B18" s="46" t="s">
        <v>130</v>
      </c>
      <c r="C18" s="46" t="s">
        <v>137</v>
      </c>
      <c r="D18" s="46" t="s">
        <v>33</v>
      </c>
      <c r="E18" s="46" t="s">
        <v>34</v>
      </c>
      <c r="F18" s="46" t="s">
        <v>35</v>
      </c>
      <c r="G18" s="46" t="s">
        <v>36</v>
      </c>
      <c r="H18" s="46" t="s">
        <v>138</v>
      </c>
      <c r="I18" s="46" t="s">
        <v>139</v>
      </c>
      <c r="J18" s="46" t="s">
        <v>140</v>
      </c>
      <c r="K18" s="46" t="s">
        <v>252</v>
      </c>
      <c r="L18" s="46" t="s">
        <v>41</v>
      </c>
      <c r="M18" s="46" t="s">
        <v>141</v>
      </c>
    </row>
    <row r="19" spans="1:13" ht="84" customHeight="1">
      <c r="A19" s="46" t="s">
        <v>142</v>
      </c>
      <c r="B19" s="46" t="s">
        <v>130</v>
      </c>
      <c r="C19" s="46" t="s">
        <v>143</v>
      </c>
      <c r="D19" s="46" t="s">
        <v>88</v>
      </c>
      <c r="E19" s="46" t="s">
        <v>34</v>
      </c>
      <c r="F19" s="46" t="s">
        <v>35</v>
      </c>
      <c r="G19" s="46" t="s">
        <v>36</v>
      </c>
      <c r="H19" s="46" t="s">
        <v>144</v>
      </c>
      <c r="I19" s="46" t="s">
        <v>145</v>
      </c>
      <c r="J19" s="46" t="s">
        <v>146</v>
      </c>
      <c r="K19" s="46" t="s">
        <v>251</v>
      </c>
      <c r="L19" s="46" t="s">
        <v>54</v>
      </c>
      <c r="M19" s="46" t="s">
        <v>147</v>
      </c>
    </row>
    <row r="20" spans="1:13" ht="84" customHeight="1">
      <c r="A20" s="46" t="s">
        <v>148</v>
      </c>
      <c r="B20" s="46" t="s">
        <v>130</v>
      </c>
      <c r="C20" s="46" t="s">
        <v>149</v>
      </c>
      <c r="D20" s="46" t="s">
        <v>33</v>
      </c>
      <c r="E20" s="46" t="s">
        <v>34</v>
      </c>
      <c r="F20" s="46" t="s">
        <v>35</v>
      </c>
      <c r="G20" s="46" t="s">
        <v>36</v>
      </c>
      <c r="H20" s="46" t="s">
        <v>150</v>
      </c>
      <c r="I20" s="46" t="s">
        <v>151</v>
      </c>
      <c r="J20" s="46" t="s">
        <v>152</v>
      </c>
      <c r="K20" s="46" t="s">
        <v>253</v>
      </c>
      <c r="L20" s="46" t="s">
        <v>41</v>
      </c>
      <c r="M20" s="46" t="s">
        <v>153</v>
      </c>
    </row>
    <row r="21" spans="1:13" ht="84" customHeight="1">
      <c r="A21" s="46" t="s">
        <v>154</v>
      </c>
      <c r="B21" s="46" t="s">
        <v>155</v>
      </c>
      <c r="C21" s="46" t="s">
        <v>156</v>
      </c>
      <c r="D21" s="46" t="s">
        <v>33</v>
      </c>
      <c r="E21" s="46" t="s">
        <v>34</v>
      </c>
      <c r="F21" s="46" t="s">
        <v>35</v>
      </c>
      <c r="G21" s="46" t="s">
        <v>36</v>
      </c>
      <c r="H21" s="46" t="s">
        <v>157</v>
      </c>
      <c r="I21" s="46" t="s">
        <v>158</v>
      </c>
      <c r="J21" s="46" t="s">
        <v>159</v>
      </c>
      <c r="K21" s="46" t="s">
        <v>254</v>
      </c>
      <c r="L21" s="46" t="s">
        <v>41</v>
      </c>
      <c r="M21" s="46" t="s">
        <v>160</v>
      </c>
    </row>
    <row r="22" spans="1:13" ht="84" customHeight="1">
      <c r="A22" s="46" t="s">
        <v>161</v>
      </c>
      <c r="B22" s="46" t="s">
        <v>155</v>
      </c>
      <c r="C22" s="46" t="s">
        <v>162</v>
      </c>
      <c r="D22" s="46" t="s">
        <v>33</v>
      </c>
      <c r="E22" s="46" t="s">
        <v>34</v>
      </c>
      <c r="F22" s="46" t="s">
        <v>35</v>
      </c>
      <c r="G22" s="46" t="s">
        <v>36</v>
      </c>
      <c r="H22" s="46" t="s">
        <v>163</v>
      </c>
      <c r="I22" s="46" t="s">
        <v>164</v>
      </c>
      <c r="J22" s="46" t="s">
        <v>165</v>
      </c>
      <c r="K22" s="46" t="s">
        <v>255</v>
      </c>
      <c r="L22" s="46" t="s">
        <v>41</v>
      </c>
      <c r="M22" s="46" t="s">
        <v>166</v>
      </c>
    </row>
    <row r="23" spans="1:13" ht="84" customHeight="1">
      <c r="A23" s="46" t="s">
        <v>167</v>
      </c>
      <c r="B23" s="46" t="s">
        <v>155</v>
      </c>
      <c r="C23" s="46" t="s">
        <v>168</v>
      </c>
      <c r="D23" s="46" t="s">
        <v>88</v>
      </c>
      <c r="E23" s="46" t="s">
        <v>34</v>
      </c>
      <c r="F23" s="46" t="s">
        <v>35</v>
      </c>
      <c r="G23" s="46" t="s">
        <v>36</v>
      </c>
      <c r="H23" s="46" t="s">
        <v>169</v>
      </c>
      <c r="I23" s="46" t="s">
        <v>170</v>
      </c>
      <c r="J23" s="46" t="s">
        <v>171</v>
      </c>
      <c r="K23" s="46" t="s">
        <v>256</v>
      </c>
      <c r="L23" s="46" t="s">
        <v>41</v>
      </c>
      <c r="M23" s="46" t="s">
        <v>172</v>
      </c>
    </row>
    <row r="24" spans="1:13" ht="84" customHeight="1">
      <c r="A24" s="46" t="s">
        <v>173</v>
      </c>
      <c r="B24" s="46" t="s">
        <v>174</v>
      </c>
      <c r="C24" s="46" t="s">
        <v>175</v>
      </c>
      <c r="D24" s="46" t="s">
        <v>33</v>
      </c>
      <c r="E24" s="46" t="s">
        <v>34</v>
      </c>
      <c r="F24" s="46" t="s">
        <v>35</v>
      </c>
      <c r="G24" s="46" t="s">
        <v>36</v>
      </c>
      <c r="H24" s="46" t="s">
        <v>176</v>
      </c>
      <c r="I24" s="46" t="s">
        <v>177</v>
      </c>
      <c r="J24" s="46" t="s">
        <v>178</v>
      </c>
      <c r="K24" s="46" t="s">
        <v>257</v>
      </c>
      <c r="L24" s="46" t="s">
        <v>41</v>
      </c>
      <c r="M24" s="46" t="s">
        <v>179</v>
      </c>
    </row>
    <row r="25" spans="1:13" ht="84" customHeight="1">
      <c r="A25" s="46" t="s">
        <v>180</v>
      </c>
      <c r="B25" s="46" t="s">
        <v>174</v>
      </c>
      <c r="C25" s="46" t="s">
        <v>181</v>
      </c>
      <c r="D25" s="46" t="s">
        <v>33</v>
      </c>
      <c r="E25" s="46" t="s">
        <v>34</v>
      </c>
      <c r="F25" s="46" t="s">
        <v>35</v>
      </c>
      <c r="G25" s="46" t="s">
        <v>36</v>
      </c>
      <c r="H25" s="46" t="s">
        <v>182</v>
      </c>
      <c r="I25" s="46" t="s">
        <v>183</v>
      </c>
      <c r="J25" s="46" t="s">
        <v>184</v>
      </c>
      <c r="K25" s="46" t="s">
        <v>258</v>
      </c>
      <c r="L25" s="46" t="s">
        <v>41</v>
      </c>
      <c r="M25" s="46" t="s">
        <v>185</v>
      </c>
    </row>
    <row r="26" spans="1:13" ht="84" customHeight="1">
      <c r="A26" s="46" t="s">
        <v>186</v>
      </c>
      <c r="B26" s="46" t="s">
        <v>174</v>
      </c>
      <c r="C26" s="46" t="s">
        <v>187</v>
      </c>
      <c r="D26" s="46" t="s">
        <v>33</v>
      </c>
      <c r="E26" s="46" t="s">
        <v>34</v>
      </c>
      <c r="F26" s="46" t="s">
        <v>35</v>
      </c>
      <c r="G26" s="46" t="s">
        <v>36</v>
      </c>
      <c r="H26" s="46" t="s">
        <v>188</v>
      </c>
      <c r="I26" s="46" t="s">
        <v>189</v>
      </c>
      <c r="J26" s="46" t="s">
        <v>190</v>
      </c>
      <c r="K26" s="46" t="s">
        <v>259</v>
      </c>
      <c r="L26" s="46" t="s">
        <v>41</v>
      </c>
      <c r="M26" s="46" t="s">
        <v>191</v>
      </c>
    </row>
    <row r="27" spans="1:13" ht="84" customHeight="1">
      <c r="A27" s="46" t="s">
        <v>192</v>
      </c>
      <c r="B27" s="46" t="s">
        <v>174</v>
      </c>
      <c r="C27" s="46" t="s">
        <v>193</v>
      </c>
      <c r="D27" s="46" t="s">
        <v>88</v>
      </c>
      <c r="E27" s="46" t="s">
        <v>34</v>
      </c>
      <c r="F27" s="46" t="s">
        <v>35</v>
      </c>
      <c r="G27" s="46" t="s">
        <v>36</v>
      </c>
      <c r="H27" s="46" t="s">
        <v>194</v>
      </c>
      <c r="I27" s="46" t="s">
        <v>195</v>
      </c>
      <c r="J27" s="46" t="s">
        <v>196</v>
      </c>
      <c r="K27" s="46" t="s">
        <v>260</v>
      </c>
      <c r="L27" s="46" t="s">
        <v>41</v>
      </c>
      <c r="M27" s="46" t="s">
        <v>197</v>
      </c>
    </row>
    <row r="28" spans="1:13" ht="84" customHeight="1">
      <c r="A28" s="46" t="s">
        <v>198</v>
      </c>
      <c r="B28" s="46" t="s">
        <v>199</v>
      </c>
      <c r="C28" s="46" t="s">
        <v>200</v>
      </c>
      <c r="D28" s="46" t="s">
        <v>33</v>
      </c>
      <c r="E28" s="46" t="s">
        <v>34</v>
      </c>
      <c r="F28" s="46" t="s">
        <v>35</v>
      </c>
      <c r="G28" s="46" t="s">
        <v>36</v>
      </c>
      <c r="H28" s="46" t="s">
        <v>201</v>
      </c>
      <c r="I28" s="46" t="s">
        <v>202</v>
      </c>
      <c r="J28" s="46" t="s">
        <v>203</v>
      </c>
      <c r="K28" s="46" t="s">
        <v>261</v>
      </c>
      <c r="L28" s="46" t="s">
        <v>41</v>
      </c>
      <c r="M28" s="46" t="s">
        <v>204</v>
      </c>
    </row>
    <row r="29" spans="1:13" ht="84" customHeight="1">
      <c r="A29" s="46" t="s">
        <v>205</v>
      </c>
      <c r="B29" s="46" t="s">
        <v>199</v>
      </c>
      <c r="C29" s="46" t="s">
        <v>206</v>
      </c>
      <c r="D29" s="46" t="s">
        <v>33</v>
      </c>
      <c r="E29" s="46" t="s">
        <v>34</v>
      </c>
      <c r="F29" s="46" t="s">
        <v>35</v>
      </c>
      <c r="G29" s="46" t="s">
        <v>36</v>
      </c>
      <c r="H29" s="46" t="s">
        <v>207</v>
      </c>
      <c r="I29" s="46" t="s">
        <v>208</v>
      </c>
      <c r="J29" s="46" t="s">
        <v>209</v>
      </c>
      <c r="K29" s="46" t="s">
        <v>262</v>
      </c>
      <c r="L29" s="46" t="s">
        <v>41</v>
      </c>
      <c r="M29" s="46" t="s">
        <v>210</v>
      </c>
    </row>
    <row r="30" spans="1:13" ht="84" customHeight="1">
      <c r="A30" s="46" t="s">
        <v>211</v>
      </c>
      <c r="B30" s="46" t="s">
        <v>199</v>
      </c>
      <c r="C30" s="46" t="s">
        <v>212</v>
      </c>
      <c r="D30" s="46" t="s">
        <v>88</v>
      </c>
      <c r="E30" s="46" t="s">
        <v>34</v>
      </c>
      <c r="F30" s="46" t="s">
        <v>35</v>
      </c>
      <c r="G30" s="46" t="s">
        <v>36</v>
      </c>
      <c r="H30" s="46" t="s">
        <v>213</v>
      </c>
      <c r="I30" s="46" t="s">
        <v>214</v>
      </c>
      <c r="J30" s="46" t="s">
        <v>215</v>
      </c>
      <c r="K30" s="46" t="s">
        <v>263</v>
      </c>
      <c r="L30" s="46" t="s">
        <v>41</v>
      </c>
      <c r="M30" s="46" t="s">
        <v>216</v>
      </c>
    </row>
    <row r="31" spans="1:13" ht="84" customHeight="1">
      <c r="A31" s="46" t="s">
        <v>217</v>
      </c>
      <c r="B31" s="46" t="s">
        <v>218</v>
      </c>
      <c r="C31" s="46" t="s">
        <v>219</v>
      </c>
      <c r="D31" s="46" t="s">
        <v>33</v>
      </c>
      <c r="E31" s="46" t="s">
        <v>34</v>
      </c>
      <c r="F31" s="46" t="s">
        <v>35</v>
      </c>
      <c r="G31" s="46" t="s">
        <v>36</v>
      </c>
      <c r="H31" s="46" t="s">
        <v>220</v>
      </c>
      <c r="I31" s="46" t="s">
        <v>221</v>
      </c>
      <c r="J31" s="46" t="s">
        <v>222</v>
      </c>
      <c r="K31" s="46" t="s">
        <v>264</v>
      </c>
      <c r="L31" s="46" t="s">
        <v>41</v>
      </c>
      <c r="M31" s="46" t="s">
        <v>223</v>
      </c>
    </row>
    <row r="32" spans="1:13" ht="84" customHeight="1">
      <c r="A32" s="46" t="s">
        <v>224</v>
      </c>
      <c r="B32" s="46" t="s">
        <v>218</v>
      </c>
      <c r="C32" s="46" t="s">
        <v>225</v>
      </c>
      <c r="D32" s="46" t="s">
        <v>88</v>
      </c>
      <c r="E32" s="46" t="s">
        <v>34</v>
      </c>
      <c r="F32" s="46" t="s">
        <v>35</v>
      </c>
      <c r="G32" s="46" t="s">
        <v>36</v>
      </c>
      <c r="H32" s="46" t="s">
        <v>226</v>
      </c>
      <c r="I32" s="46" t="s">
        <v>227</v>
      </c>
      <c r="J32" s="46" t="s">
        <v>228</v>
      </c>
      <c r="K32" s="46" t="s">
        <v>265</v>
      </c>
      <c r="L32" s="46" t="s">
        <v>41</v>
      </c>
      <c r="M32" s="46" t="s">
        <v>229</v>
      </c>
    </row>
    <row r="33" spans="1:13" ht="84" customHeight="1">
      <c r="A33" s="46" t="s">
        <v>230</v>
      </c>
      <c r="B33" s="46" t="s">
        <v>218</v>
      </c>
      <c r="C33" s="46" t="s">
        <v>231</v>
      </c>
      <c r="D33" s="46" t="s">
        <v>88</v>
      </c>
      <c r="E33" s="46" t="s">
        <v>34</v>
      </c>
      <c r="F33" s="46" t="s">
        <v>35</v>
      </c>
      <c r="G33" s="46" t="s">
        <v>36</v>
      </c>
      <c r="H33" s="46" t="s">
        <v>232</v>
      </c>
      <c r="I33" s="46" t="s">
        <v>233</v>
      </c>
      <c r="J33" s="46" t="s">
        <v>234</v>
      </c>
      <c r="K33" s="46" t="s">
        <v>266</v>
      </c>
      <c r="L33" s="46" t="s">
        <v>41</v>
      </c>
      <c r="M33" s="46" t="s">
        <v>235</v>
      </c>
    </row>
    <row r="34" spans="1:13">
      <c r="A34" s="50" t="s"/>
      <c r="B34" s="50" t="s"/>
      <c r="C34" s="50" t="s"/>
      <c r="D34" s="50" t="s"/>
      <c r="E34" s="50" t="s"/>
      <c r="F34" s="50" t="s"/>
      <c r="G34" s="50" t="s"/>
      <c r="H34" s="50" t="s"/>
      <c r="I34" s="50" t="s"/>
      <c r="J34" s="50" t="s"/>
      <c r="K34" s="50" t="s"/>
      <c r="L34" s="50" t="s"/>
      <c r="M34" s="50" t="s"/>
    </row>
    <row r="35" spans="1:13">
      <c r="A35" s="50" t="s"/>
      <c r="B35" s="50" t="s"/>
      <c r="C35" s="50" t="s"/>
      <c r="D35" s="50" t="s"/>
      <c r="E35" s="50" t="s"/>
      <c r="F35" s="50" t="s"/>
      <c r="G35" s="50" t="s"/>
      <c r="H35" s="50" t="s"/>
      <c r="I35" s="50" t="s"/>
      <c r="J35" s="50" t="s"/>
      <c r="K35" s="50" t="s"/>
      <c r="L35" s="50" t="s"/>
      <c r="M35" s="50" t="s"/>
    </row>
    <row r="36" spans="1:13">
      <c r="A36" s="50" t="s"/>
      <c r="B36" s="50" t="s"/>
      <c r="C36" s="50" t="s"/>
      <c r="D36" s="50" t="s"/>
      <c r="E36" s="50" t="s"/>
      <c r="F36" s="50" t="s"/>
      <c r="G36" s="50" t="s"/>
      <c r="H36" s="50" t="s"/>
      <c r="I36" s="50" t="s"/>
      <c r="J36" s="50" t="s"/>
      <c r="K36" s="50" t="s"/>
      <c r="L36" s="50" t="s"/>
      <c r="M36" s="50" t="s"/>
    </row>
    <row r="37" spans="1:13">
      <c r="A37" s="50" t="s"/>
      <c r="B37" s="50" t="s"/>
      <c r="C37" s="50" t="s"/>
      <c r="D37" s="50" t="s"/>
      <c r="E37" s="50" t="s"/>
      <c r="F37" s="50" t="s"/>
      <c r="G37" s="50" t="s"/>
      <c r="H37" s="50" t="s"/>
      <c r="I37" s="50" t="s"/>
      <c r="J37" s="50" t="s"/>
      <c r="K37" s="50" t="s"/>
      <c r="L37" s="50" t="s"/>
      <c r="M37" s="50" t="s"/>
    </row>
    <row r="38" spans="1:13">
      <c r="A38" s="50" t="s"/>
      <c r="B38" s="50" t="s"/>
      <c r="C38" s="50" t="s"/>
      <c r="D38" s="50" t="s"/>
      <c r="E38" s="50" t="s"/>
      <c r="F38" s="50" t="s"/>
      <c r="G38" s="50" t="s"/>
      <c r="H38" s="50" t="s"/>
      <c r="I38" s="50" t="s"/>
      <c r="J38" s="50" t="s"/>
      <c r="K38" s="50" t="s"/>
      <c r="L38" s="50" t="s"/>
      <c r="M38" s="50" t="s"/>
    </row>
    <row r="39" spans="1:13">
      <c r="A39" s="50" t="s"/>
      <c r="B39" s="50" t="s"/>
      <c r="C39" s="50" t="s"/>
      <c r="D39" s="50" t="s"/>
      <c r="E39" s="50" t="s"/>
      <c r="F39" s="50" t="s"/>
      <c r="G39" s="50" t="s"/>
      <c r="H39" s="50" t="s"/>
      <c r="I39" s="50" t="s"/>
      <c r="J39" s="50" t="s"/>
      <c r="K39" s="50" t="s"/>
      <c r="L39" s="50" t="s"/>
      <c r="M39" s="50" t="s"/>
    </row>
    <row r="40" spans="1:13">
      <c r="A40" s="50" t="s"/>
      <c r="B40" s="50" t="s"/>
      <c r="C40" s="50" t="s"/>
      <c r="D40" s="50" t="s"/>
      <c r="E40" s="50" t="s"/>
      <c r="F40" s="50" t="s"/>
      <c r="G40" s="50" t="s"/>
      <c r="H40" s="50" t="s"/>
      <c r="I40" s="50" t="s"/>
      <c r="J40" s="50" t="s"/>
      <c r="K40" s="50" t="s"/>
      <c r="L40" s="50" t="s"/>
      <c r="M40" s="50" t="s"/>
    </row>
    <row r="41" spans="1:13">
      <c r="A41" s="50" t="s"/>
      <c r="B41" s="50" t="s"/>
      <c r="C41" s="50" t="s"/>
      <c r="D41" s="50" t="s"/>
      <c r="E41" s="50" t="s"/>
      <c r="F41" s="50" t="s"/>
      <c r="G41" s="50" t="s"/>
      <c r="H41" s="50" t="s"/>
      <c r="I41" s="50" t="s"/>
      <c r="J41" s="50" t="s"/>
      <c r="K41" s="50" t="s"/>
      <c r="L41" s="50" t="s"/>
      <c r="M41" s="50" t="s"/>
    </row>
    <row r="42" spans="1:13">
      <c r="A42" s="50" t="s"/>
      <c r="B42" s="50" t="s"/>
      <c r="C42" s="50" t="s"/>
      <c r="D42" s="50" t="s"/>
      <c r="E42" s="50" t="s"/>
      <c r="F42" s="50" t="s"/>
      <c r="G42" s="50" t="s"/>
      <c r="H42" s="50" t="s"/>
      <c r="I42" s="50" t="s"/>
      <c r="J42" s="50" t="s"/>
      <c r="K42" s="50" t="s"/>
      <c r="L42" s="50" t="s"/>
      <c r="M42" s="50" t="s"/>
    </row>
    <row r="43" spans="1:13">
      <c r="A43" s="50" t="s"/>
      <c r="B43" s="50" t="s"/>
      <c r="C43" s="50" t="s"/>
      <c r="D43" s="50" t="s"/>
      <c r="E43" s="50" t="s"/>
      <c r="F43" s="50" t="s"/>
      <c r="G43" s="50" t="s"/>
      <c r="H43" s="50" t="s"/>
      <c r="I43" s="50" t="s"/>
      <c r="J43" s="50" t="s"/>
      <c r="K43" s="50" t="s"/>
      <c r="L43" s="50" t="s"/>
      <c r="M43" s="50" t="s"/>
    </row>
    <row r="44" spans="1:13">
      <c r="A44" s="50" t="s"/>
      <c r="B44" s="50" t="s"/>
      <c r="C44" s="50" t="s"/>
      <c r="D44" s="50" t="s"/>
      <c r="E44" s="50" t="s"/>
      <c r="F44" s="50" t="s"/>
      <c r="G44" s="50" t="s"/>
      <c r="H44" s="50" t="s"/>
      <c r="I44" s="50" t="s"/>
      <c r="J44" s="50" t="s"/>
      <c r="K44" s="50" t="s"/>
      <c r="L44" s="50" t="s"/>
      <c r="M44" s="50" t="s"/>
    </row>
    <row r="45" spans="1:13">
      <c r="A45" s="50" t="s"/>
      <c r="B45" s="50" t="s"/>
      <c r="C45" s="50" t="s"/>
      <c r="D45" s="50" t="s"/>
      <c r="E45" s="50" t="s"/>
      <c r="F45" s="50" t="s"/>
      <c r="G45" s="50" t="s"/>
      <c r="H45" s="50" t="s"/>
      <c r="I45" s="50" t="s"/>
      <c r="J45" s="50" t="s"/>
      <c r="K45" s="50" t="s"/>
      <c r="L45" s="50" t="s"/>
      <c r="M45" s="50" t="s"/>
    </row>
    <row r="46" spans="1:13">
      <c r="A46" s="50" t="s"/>
      <c r="B46" s="50" t="s"/>
      <c r="C46" s="50" t="s"/>
      <c r="D46" s="50" t="s"/>
      <c r="E46" s="50" t="s"/>
      <c r="F46" s="50" t="s"/>
      <c r="G46" s="50" t="s"/>
      <c r="H46" s="50" t="s"/>
      <c r="I46" s="50" t="s"/>
      <c r="J46" s="50" t="s"/>
      <c r="K46" s="50" t="s"/>
      <c r="L46" s="50" t="s"/>
      <c r="M46" s="50" t="s"/>
    </row>
    <row r="47" spans="1:13">
      <c r="A47" s="50" t="s"/>
      <c r="B47" s="50" t="s"/>
      <c r="C47" s="50" t="s"/>
      <c r="D47" s="50" t="s"/>
      <c r="E47" s="50" t="s"/>
      <c r="F47" s="50" t="s"/>
      <c r="G47" s="50" t="s"/>
      <c r="H47" s="50" t="s"/>
      <c r="I47" s="50" t="s"/>
      <c r="J47" s="50" t="s"/>
      <c r="K47" s="50" t="s"/>
      <c r="L47" s="50" t="s"/>
      <c r="M47" s="50" t="s"/>
    </row>
    <row r="48" spans="1:13">
      <c r="A48" s="50" t="s"/>
      <c r="B48" s="50" t="s"/>
      <c r="C48" s="50" t="s"/>
      <c r="D48" s="50" t="s"/>
      <c r="E48" s="50" t="s"/>
      <c r="F48" s="50" t="s"/>
      <c r="G48" s="50" t="s"/>
      <c r="H48" s="50" t="s"/>
      <c r="I48" s="50" t="s"/>
      <c r="J48" s="50" t="s"/>
      <c r="K48" s="50" t="s"/>
      <c r="L48" s="50" t="s"/>
      <c r="M48" s="50" t="s"/>
    </row>
    <row r="49" spans="1:13">
      <c r="A49" s="50" t="s"/>
      <c r="B49" s="50" t="s"/>
      <c r="C49" s="50" t="s"/>
      <c r="D49" s="50" t="s"/>
      <c r="E49" s="50" t="s"/>
      <c r="F49" s="50" t="s"/>
      <c r="G49" s="50" t="s"/>
      <c r="H49" s="50" t="s"/>
      <c r="I49" s="50" t="s"/>
      <c r="J49" s="50" t="s"/>
      <c r="K49" s="50" t="s"/>
      <c r="L49" s="50" t="s"/>
      <c r="M49" s="50" t="s"/>
    </row>
    <row r="50" spans="1:13">
      <c r="A50" s="50" t="s"/>
      <c r="B50" s="50" t="s"/>
      <c r="C50" s="50" t="s"/>
      <c r="D50" s="50" t="s"/>
      <c r="E50" s="50" t="s"/>
      <c r="F50" s="50" t="s"/>
      <c r="G50" s="50" t="s"/>
      <c r="H50" s="50" t="s"/>
      <c r="I50" s="50" t="s"/>
      <c r="J50" s="50" t="s"/>
      <c r="K50" s="50" t="s"/>
      <c r="L50" s="50" t="s"/>
      <c r="M50" s="50" t="s"/>
    </row>
    <row r="51" spans="1:13">
      <c r="A51" s="50" t="s"/>
      <c r="B51" s="50" t="s"/>
      <c r="C51" s="50" t="s"/>
      <c r="D51" s="50" t="s"/>
      <c r="E51" s="50" t="s"/>
      <c r="F51" s="50" t="s"/>
      <c r="G51" s="50" t="s"/>
      <c r="H51" s="50" t="s"/>
      <c r="I51" s="50" t="s"/>
      <c r="J51" s="50" t="s"/>
      <c r="K51" s="50" t="s"/>
      <c r="L51" s="50" t="s"/>
      <c r="M51" s="50" t="s"/>
    </row>
    <row r="52" spans="1:13">
      <c r="A52" s="50" t="s"/>
      <c r="B52" s="50" t="s"/>
      <c r="C52" s="50" t="s"/>
      <c r="D52" s="50" t="s"/>
      <c r="E52" s="50" t="s"/>
      <c r="F52" s="50" t="s"/>
      <c r="G52" s="50" t="s"/>
      <c r="H52" s="50" t="s"/>
      <c r="I52" s="50" t="s"/>
      <c r="J52" s="50" t="s"/>
      <c r="K52" s="50" t="s"/>
      <c r="L52" s="50" t="s"/>
      <c r="M52" s="50" t="s"/>
    </row>
    <row r="53" spans="1:13">
      <c r="A53" s="50" t="s"/>
      <c r="B53" s="50" t="s"/>
      <c r="C53" s="50" t="s"/>
      <c r="D53" s="50" t="s"/>
      <c r="E53" s="50" t="s"/>
      <c r="F53" s="50" t="s"/>
      <c r="G53" s="50" t="s"/>
      <c r="H53" s="50" t="s"/>
      <c r="I53" s="50" t="s"/>
      <c r="J53" s="50" t="s"/>
      <c r="K53" s="50" t="s"/>
      <c r="L53" s="50" t="s"/>
      <c r="M53" s="50" t="s"/>
    </row>
    <row r="54" spans="1:13">
      <c r="A54" s="50" t="s"/>
      <c r="B54" s="50" t="s"/>
      <c r="C54" s="50" t="s"/>
      <c r="D54" s="50" t="s"/>
      <c r="E54" s="50" t="s"/>
      <c r="F54" s="50" t="s"/>
      <c r="G54" s="50" t="s"/>
      <c r="H54" s="50" t="s"/>
      <c r="I54" s="50" t="s"/>
      <c r="J54" s="50" t="s"/>
      <c r="K54" s="50" t="s"/>
      <c r="L54" s="50" t="s"/>
      <c r="M54" s="50" t="s"/>
    </row>
    <row r="55" spans="1:13">
      <c r="A55" s="50" t="s"/>
      <c r="B55" s="50" t="s"/>
      <c r="C55" s="50" t="s"/>
      <c r="D55" s="50" t="s"/>
      <c r="E55" s="50" t="s"/>
      <c r="F55" s="50" t="s"/>
      <c r="G55" s="50" t="s"/>
      <c r="H55" s="50" t="s"/>
      <c r="I55" s="50" t="s"/>
      <c r="J55" s="50" t="s"/>
      <c r="K55" s="50" t="s"/>
      <c r="L55" s="50" t="s"/>
      <c r="M55" s="50" t="s"/>
    </row>
    <row r="56" spans="1:13">
      <c r="A56" s="50" t="s"/>
      <c r="B56" s="50" t="s"/>
      <c r="C56" s="50" t="s"/>
      <c r="D56" s="50" t="s"/>
      <c r="E56" s="50" t="s"/>
      <c r="F56" s="50" t="s"/>
      <c r="G56" s="50" t="s"/>
      <c r="H56" s="50" t="s"/>
      <c r="I56" s="50" t="s"/>
      <c r="J56" s="50" t="s"/>
      <c r="K56" s="50" t="s"/>
      <c r="L56" s="50" t="s"/>
      <c r="M56" s="50" t="s"/>
    </row>
    <row r="57" spans="1:13">
      <c r="A57" s="50" t="s"/>
      <c r="B57" s="50" t="s"/>
      <c r="C57" s="50" t="s"/>
      <c r="D57" s="50" t="s"/>
      <c r="E57" s="50" t="s"/>
      <c r="F57" s="50" t="s"/>
      <c r="G57" s="50" t="s"/>
      <c r="H57" s="50" t="s"/>
      <c r="I57" s="50" t="s"/>
      <c r="J57" s="50" t="s"/>
      <c r="K57" s="50" t="s"/>
      <c r="L57" s="50" t="s"/>
      <c r="M57" s="50" t="s"/>
    </row>
    <row r="58" spans="1:13">
      <c r="A58" s="50" t="s"/>
      <c r="B58" s="50" t="s"/>
      <c r="C58" s="50" t="s"/>
      <c r="D58" s="50" t="s"/>
      <c r="E58" s="50" t="s"/>
      <c r="F58" s="50" t="s"/>
      <c r="G58" s="50" t="s"/>
      <c r="H58" s="50" t="s"/>
      <c r="I58" s="50" t="s"/>
      <c r="J58" s="50" t="s"/>
      <c r="K58" s="50" t="s"/>
      <c r="L58" s="50" t="s"/>
      <c r="M58" s="50" t="s"/>
    </row>
    <row r="59" spans="1:13">
      <c r="A59" s="50" t="s"/>
      <c r="B59" s="50" t="s"/>
      <c r="C59" s="50" t="s"/>
      <c r="D59" s="50" t="s"/>
      <c r="E59" s="50" t="s"/>
      <c r="F59" s="50" t="s"/>
      <c r="G59" s="50" t="s"/>
      <c r="H59" s="50" t="s"/>
      <c r="I59" s="50" t="s"/>
      <c r="J59" s="50" t="s"/>
      <c r="K59" s="50" t="s"/>
      <c r="L59" s="50" t="s"/>
      <c r="M59" s="50" t="s"/>
    </row>
    <row r="60" spans="1:13">
      <c r="A60" s="50" t="s"/>
      <c r="B60" s="50" t="s"/>
      <c r="C60" s="50" t="s"/>
      <c r="D60" s="50" t="s"/>
      <c r="E60" s="50" t="s"/>
      <c r="F60" s="50" t="s"/>
      <c r="G60" s="50" t="s"/>
      <c r="H60" s="50" t="s"/>
      <c r="I60" s="50" t="s"/>
      <c r="J60" s="50" t="s"/>
      <c r="K60" s="50" t="s"/>
      <c r="L60" s="50" t="s"/>
      <c r="M60" s="50" t="s"/>
    </row>
    <row r="61" spans="1:13">
      <c r="A61" s="50" t="s"/>
      <c r="B61" s="50" t="s"/>
      <c r="C61" s="50" t="s"/>
      <c r="D61" s="50" t="s"/>
      <c r="E61" s="50" t="s"/>
      <c r="F61" s="50" t="s"/>
      <c r="G61" s="50" t="s"/>
      <c r="H61" s="50" t="s"/>
      <c r="I61" s="50" t="s"/>
      <c r="J61" s="50" t="s"/>
      <c r="K61" s="50" t="s"/>
      <c r="L61" s="50" t="s"/>
      <c r="M61" s="50" t="s"/>
    </row>
    <row r="62" spans="1:13">
      <c r="A62" s="50" t="s"/>
      <c r="B62" s="50" t="s"/>
      <c r="C62" s="50" t="s"/>
      <c r="D62" s="50" t="s"/>
      <c r="E62" s="50" t="s"/>
      <c r="F62" s="50" t="s"/>
      <c r="G62" s="50" t="s"/>
      <c r="H62" s="50" t="s"/>
      <c r="I62" s="50" t="s"/>
      <c r="J62" s="50" t="s"/>
      <c r="K62" s="50" t="s"/>
      <c r="L62" s="50" t="s"/>
      <c r="M62" s="50" t="s"/>
    </row>
    <row r="63" spans="1:13">
      <c r="A63" s="50" t="s"/>
      <c r="B63" s="50" t="s"/>
      <c r="C63" s="50" t="s"/>
      <c r="D63" s="50" t="s"/>
      <c r="E63" s="50" t="s"/>
      <c r="F63" s="50" t="s"/>
      <c r="G63" s="50" t="s"/>
      <c r="H63" s="50" t="s"/>
      <c r="I63" s="50" t="s"/>
      <c r="J63" s="50" t="s"/>
      <c r="K63" s="50" t="s"/>
      <c r="L63" s="50" t="s"/>
      <c r="M63" s="50" t="s"/>
    </row>
    <row r="64" spans="1:13">
      <c r="A64" s="50" t="s"/>
      <c r="B64" s="50" t="s"/>
      <c r="C64" s="50" t="s"/>
      <c r="D64" s="50" t="s"/>
      <c r="E64" s="50" t="s"/>
      <c r="F64" s="50" t="s"/>
      <c r="G64" s="50" t="s"/>
      <c r="H64" s="50" t="s"/>
      <c r="I64" s="50" t="s"/>
      <c r="J64" s="50" t="s"/>
      <c r="K64" s="50" t="s"/>
      <c r="L64" s="50" t="s"/>
      <c r="M64" s="50" t="s"/>
    </row>
    <row r="65" spans="1:13">
      <c r="A65" s="50" t="s"/>
      <c r="B65" s="50" t="s"/>
      <c r="C65" s="50" t="s"/>
      <c r="D65" s="50" t="s"/>
      <c r="E65" s="50" t="s"/>
      <c r="F65" s="50" t="s"/>
      <c r="G65" s="50" t="s"/>
      <c r="H65" s="50" t="s"/>
      <c r="I65" s="50" t="s"/>
      <c r="J65" s="50" t="s"/>
      <c r="K65" s="50" t="s"/>
      <c r="L65" s="50" t="s"/>
      <c r="M65" s="50" t="s"/>
    </row>
    <row r="66" spans="1:13">
      <c r="A66" s="50" t="s"/>
      <c r="B66" s="50" t="s"/>
      <c r="C66" s="50" t="s"/>
      <c r="D66" s="50" t="s"/>
      <c r="E66" s="50" t="s"/>
      <c r="F66" s="50" t="s"/>
      <c r="G66" s="50" t="s"/>
      <c r="H66" s="50" t="s"/>
      <c r="I66" s="50" t="s"/>
      <c r="J66" s="50" t="s"/>
      <c r="K66" s="50" t="s"/>
      <c r="L66" s="50" t="s"/>
      <c r="M66" s="50" t="s"/>
    </row>
    <row r="67" spans="12:12">
      <c r="L67" s="50" t="s"/>
    </row>
    <row r="68" spans="12:12">
      <c r="L68" s="50" t="s"/>
    </row>
    <row r="69" spans="12:12">
      <c r="L69" s="50" t="s"/>
    </row>
    <row r="70" spans="12:12">
      <c r="L70" s="50" t="s"/>
    </row>
    <row r="71" spans="12:12">
      <c r="L71" s="50" t="s"/>
    </row>
    <row r="72" spans="12:12">
      <c r="L72" s="50" t="s"/>
    </row>
    <row r="73" spans="12:12">
      <c r="L73" s="50" t="s"/>
    </row>
    <row r="74" spans="12:12">
      <c r="L74" s="50" t="s"/>
    </row>
    <row r="75" spans="12:12">
      <c r="L75" s="50" t="s"/>
    </row>
    <row r="76" spans="12:12">
      <c r="L76" s="50" t="s"/>
    </row>
    <row r="77" spans="12:12">
      <c r="L77" s="50" t="s"/>
    </row>
    <row r="78" spans="12:12">
      <c r="L78" s="50" t="s"/>
    </row>
    <row r="79" spans="12:12">
      <c r="L79" s="50" t="s"/>
    </row>
    <row r="80" spans="12:12">
      <c r="L80" s="50" t="s"/>
    </row>
    <row r="81" spans="12:12">
      <c r="L81" s="50" t="s"/>
    </row>
    <row r="82" spans="12:12">
      <c r="L82" s="50" t="s"/>
    </row>
    <row r="83" spans="12:12">
      <c r="L83" s="50" t="s"/>
    </row>
    <row r="84" spans="12:12">
      <c r="L84" s="50" t="s"/>
    </row>
    <row r="85" spans="12:12">
      <c r="L85" s="50" t="s"/>
    </row>
    <row r="86" spans="12:12">
      <c r="L86" s="50" t="s"/>
    </row>
    <row r="87" spans="12:12">
      <c r="L87" s="50" t="s"/>
    </row>
    <row r="88" spans="12:12">
      <c r="L88" s="50" t="s"/>
    </row>
    <row r="89" spans="12:12">
      <c r="L89" s="50" t="s"/>
    </row>
    <row r="90" spans="12:12">
      <c r="L90" s="50" t="s"/>
    </row>
    <row r="91" spans="12:12">
      <c r="L91" s="50" t="s"/>
    </row>
    <row r="92" spans="12:12">
      <c r="L92" s="50" t="s"/>
    </row>
    <row r="93" spans="12:12">
      <c r="L93" s="50" t="s"/>
    </row>
    <row r="94" spans="12:12">
      <c r="L94" s="50" t="s"/>
    </row>
    <row r="95" spans="12:12">
      <c r="L95" s="50" t="s"/>
    </row>
    <row r="96" spans="12:12">
      <c r="L96" s="50" t="s"/>
    </row>
    <row r="97" spans="12:12">
      <c r="L97" s="50" t="s"/>
    </row>
    <row r="98" spans="12:12">
      <c r="L98" s="50" t="s"/>
    </row>
    <row r="99" spans="12:12">
      <c r="L99" s="50" t="s"/>
    </row>
    <row r="100" spans="12:12">
      <c r="L100" s="50" t="s"/>
    </row>
    <row r="101" spans="12:12">
      <c r="L101" s="50" t="s"/>
    </row>
    <row r="102" spans="12:12">
      <c r="L102" s="50" t="s"/>
    </row>
    <row r="103" spans="12:12">
      <c r="L103" s="50" t="s"/>
    </row>
    <row r="104" spans="12:12">
      <c r="L104" s="50" t="s"/>
    </row>
    <row r="105" spans="12:12">
      <c r="L105" s="50" t="s"/>
    </row>
    <row r="106" spans="12:12">
      <c r="L106" s="50" t="s"/>
    </row>
    <row r="107" spans="12:12">
      <c r="L107" s="50" t="s"/>
    </row>
    <row r="108" spans="12:12">
      <c r="L108" s="50" t="s"/>
    </row>
    <row r="109" spans="12:12">
      <c r="L109" s="50" t="s"/>
    </row>
    <row r="110" spans="12:12">
      <c r="L110" s="50" t="s"/>
    </row>
    <row r="111" spans="12:12">
      <c r="L111" s="50" t="s"/>
    </row>
    <row r="112" spans="12:12">
      <c r="L112" s="50" t="s"/>
    </row>
    <row r="113" spans="12:12">
      <c r="L113" s="50" t="s"/>
    </row>
    <row r="114" spans="12:12">
      <c r="L114" s="50" t="s"/>
    </row>
    <row r="115" spans="12:12">
      <c r="L115" s="50" t="s"/>
    </row>
    <row r="116" spans="12:12">
      <c r="L116" s="50" t="s"/>
    </row>
    <row r="117" spans="12:12">
      <c r="L117" s="50" t="s"/>
    </row>
    <row r="118" spans="12:12">
      <c r="L118" s="50" t="s"/>
    </row>
    <row r="119" spans="12:12">
      <c r="L119" s="50" t="s"/>
    </row>
    <row r="120" spans="12:12">
      <c r="L120" s="50" t="s"/>
    </row>
    <row r="121" spans="12:12">
      <c r="L121" s="50" t="s"/>
    </row>
    <row r="122" spans="12:12">
      <c r="L122" s="50" t="s"/>
    </row>
    <row r="123" spans="12:12">
      <c r="L123" s="50" t="s"/>
    </row>
    <row r="124" spans="12:12">
      <c r="L124" s="50" t="s"/>
    </row>
    <row r="125" spans="12:12">
      <c r="L125" s="50" t="s"/>
    </row>
    <row r="126" spans="12:12">
      <c r="L126" s="50" t="s"/>
    </row>
    <row r="127" spans="12:12">
      <c r="L127" s="50" t="s"/>
    </row>
    <row r="128" spans="12:12">
      <c r="L128" s="50" t="s"/>
    </row>
    <row r="129" spans="12:12">
      <c r="L129" s="50" t="s"/>
    </row>
    <row r="130" spans="12:12">
      <c r="L130" s="50" t="s"/>
    </row>
    <row r="131" spans="12:12">
      <c r="L131" s="50" t="s"/>
    </row>
    <row r="132" spans="12:12">
      <c r="L132" s="50" t="s"/>
    </row>
    <row r="133" spans="12:12">
      <c r="L133" s="50" t="s"/>
    </row>
    <row r="134" spans="12:12">
      <c r="L134" s="50" t="s"/>
    </row>
    <row r="135" spans="12:12">
      <c r="L135" s="50" t="s"/>
    </row>
    <row r="136" spans="12:12">
      <c r="L136" s="50" t="s"/>
    </row>
    <row r="137" spans="12:12">
      <c r="L137" s="50" t="s"/>
    </row>
    <row r="138" spans="12:12">
      <c r="L138" s="50" t="s"/>
    </row>
    <row r="139" spans="12:12">
      <c r="L139" s="50" t="s"/>
    </row>
    <row r="140" spans="12:12">
      <c r="L140" s="50" t="s"/>
    </row>
    <row r="141" spans="12:12">
      <c r="L141" s="50" t="s"/>
    </row>
    <row r="142" spans="12:12">
      <c r="L142" s="50" t="s"/>
    </row>
    <row r="143" spans="12:12">
      <c r="L143" s="50" t="s"/>
    </row>
    <row r="144" spans="12:12">
      <c r="L144" s="50" t="s"/>
    </row>
    <row r="145" spans="12:12">
      <c r="L145" s="50" t="s"/>
    </row>
    <row r="146" spans="12:12">
      <c r="L146" s="50" t="s"/>
    </row>
    <row r="147" spans="12:12">
      <c r="L147" s="50" t="s"/>
    </row>
    <row r="148" spans="12:12">
      <c r="L148" s="50" t="s"/>
    </row>
    <row r="149" spans="12:12">
      <c r="L149" s="50" t="s"/>
    </row>
    <row r="150" spans="12:12">
      <c r="L150" s="50" t="s"/>
    </row>
    <row r="151" spans="12:12">
      <c r="L151" s="50" t="s"/>
    </row>
    <row r="152" spans="12:12">
      <c r="L152" s="50" t="s"/>
    </row>
    <row r="153" spans="12:12">
      <c r="L153" s="50" t="s"/>
    </row>
    <row r="154" spans="12:12">
      <c r="L154" s="50" t="s"/>
    </row>
    <row r="155" spans="12:12">
      <c r="L155" s="50" t="s"/>
    </row>
    <row r="156" spans="12:12">
      <c r="L156" s="50" t="s"/>
    </row>
    <row r="157" spans="12:12">
      <c r="L157" s="50" t="s"/>
    </row>
    <row r="158" spans="12:12">
      <c r="L158" s="50" t="s"/>
    </row>
    <row r="159" spans="12:12">
      <c r="L159" s="50" t="s"/>
    </row>
    <row r="160" spans="12:12">
      <c r="L160" s="50" t="s"/>
    </row>
    <row r="161" spans="12:12">
      <c r="L161" s="50" t="s"/>
    </row>
    <row r="162" spans="12:12">
      <c r="L162" s="50" t="s"/>
    </row>
    <row r="163" spans="12:12">
      <c r="L163" s="50" t="s"/>
    </row>
    <row r="164" spans="12:12">
      <c r="L164" s="50" t="s"/>
    </row>
    <row r="165" spans="12:12">
      <c r="L165" s="50" t="s"/>
    </row>
    <row r="166" spans="12:12">
      <c r="L166" s="50" t="s"/>
    </row>
    <row r="167" spans="12:12">
      <c r="L167" s="50" t="s"/>
    </row>
    <row r="168" spans="12:12">
      <c r="L168" s="50" t="s"/>
    </row>
    <row r="169" spans="12:12">
      <c r="L169" s="50" t="s"/>
    </row>
    <row r="170" spans="12:12">
      <c r="L170" s="50" t="s"/>
    </row>
    <row r="171" spans="12:12">
      <c r="L171" s="50" t="s"/>
    </row>
    <row r="172" spans="12:12">
      <c r="L172" s="50" t="s"/>
    </row>
    <row r="173" spans="12:12">
      <c r="L173" s="50" t="s"/>
    </row>
    <row r="174" spans="12:12">
      <c r="L174" s="50" t="s"/>
    </row>
    <row r="175" spans="12:12">
      <c r="L175" s="50" t="s"/>
    </row>
    <row r="176" spans="12:12">
      <c r="L176" s="50" t="s"/>
    </row>
    <row r="177" spans="12:12">
      <c r="L177" s="50" t="s"/>
    </row>
    <row r="178" spans="12:12">
      <c r="L178" s="50" t="s"/>
    </row>
    <row r="179" spans="12:12">
      <c r="L179" s="50" t="s"/>
    </row>
    <row r="180" spans="12:12">
      <c r="L180" s="50" t="s"/>
    </row>
    <row r="181" spans="12:12">
      <c r="L181" s="50" t="s"/>
    </row>
    <row r="182" spans="12:12">
      <c r="L182" s="50" t="s"/>
    </row>
    <row r="183" spans="12:12">
      <c r="L183" s="50" t="s"/>
    </row>
    <row r="184" spans="12:12">
      <c r="L184" s="50" t="s"/>
    </row>
    <row r="185" spans="12:12">
      <c r="L185" s="50" t="s"/>
    </row>
    <row r="186" spans="12:12">
      <c r="L186" s="50" t="s"/>
    </row>
    <row r="187" spans="12:12">
      <c r="L187" s="50" t="s"/>
    </row>
    <row r="188" spans="12:12">
      <c r="L188" s="50" t="s"/>
    </row>
    <row r="189" spans="12:12">
      <c r="L189" s="50" t="s"/>
    </row>
    <row r="190" spans="12:12">
      <c r="L190" s="50" t="s"/>
    </row>
    <row r="191" spans="12:12">
      <c r="L191" s="50" t="s"/>
    </row>
    <row r="192" spans="12:12">
      <c r="L192" s="50" t="s"/>
    </row>
    <row r="193" spans="12:12">
      <c r="L193" s="50" t="s"/>
    </row>
    <row r="194" spans="12:12">
      <c r="L194" s="50" t="s"/>
    </row>
    <row r="195" spans="12:12">
      <c r="L195" s="50" t="s"/>
    </row>
    <row r="196" spans="12:12">
      <c r="L196" s="50" t="s"/>
    </row>
    <row r="197" spans="12:12">
      <c r="L197" s="50" t="s"/>
    </row>
    <row r="198" spans="12:12">
      <c r="L198" s="50" t="s"/>
    </row>
    <row r="199" spans="12:12">
      <c r="L199" s="50" t="s"/>
    </row>
    <row r="200" spans="12:12">
      <c r="L200" s="50" t="s"/>
    </row>
  </sheetData>
  <sheetProtection formatCells="0"/>
  <dataValidations>
    <dataValidation type="list" operator="between" allowBlank="1" showInputMessage="1" showErrorMessage="1" sqref="L2:L200">
      <formula1>'Test Cases测试用例'!$N$2:$N$5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>
  <sheetPr codeName="Sheet3"/>
  <dimension ref="XFD10"/>
  <sheetViews>
    <sheetView showGridLines="1" showOutlineSymbols="0" zoomScale="87" zoomScaleNormal="87" workbookViewId="0"/>
  </sheetViews>
  <sheetFormatPr defaultColWidth="11.6667" defaultRowHeight="14.25" outlineLevelCol="2"/>
  <cols>
    <col min="1" max="1" width="4.66667" style="59" customWidth="1"/>
    <col min="2" max="2" width="67.6667" style="59" customWidth="1"/>
    <col min="3" max="26" width="11.6667" style="59"/>
  </cols>
  <sheetData>
    <row r="1" spans="1:3" ht="15.75">
      <c r="A1" s="51" t="s">
        <v>310</v>
      </c>
      <c r="B1" s="51" t="s"/>
      <c r="C1" s="52" t="s"/>
    </row>
    <row r="2" spans="1:3" ht="30">
      <c r="A2" s="53">
        <v>1</v>
      </c>
      <c r="B2" s="54" t="s">
        <v>311</v>
      </c>
      <c r="C2" s="52" t="s"/>
    </row>
    <row r="3" spans="1:3" ht="15">
      <c r="A3" s="53">
        <v>2</v>
      </c>
      <c r="B3" s="54" t="s">
        <v>312</v>
      </c>
      <c r="C3" s="52" t="s"/>
    </row>
    <row r="4" spans="1:3" ht="45">
      <c r="A4" s="53">
        <v>3</v>
      </c>
      <c r="B4" s="54" t="s">
        <v>313</v>
      </c>
      <c r="C4" s="52" t="s"/>
    </row>
    <row r="5" spans="1:3" ht="28.5">
      <c r="A5" s="53">
        <v>4</v>
      </c>
      <c r="B5" s="54" t="s">
        <v>314</v>
      </c>
      <c r="C5" s="52" t="s"/>
    </row>
    <row r="6" spans="1:3" ht="33" customHeight="1">
      <c r="A6" s="53">
        <v>5</v>
      </c>
      <c r="B6" s="54" t="s">
        <v>315</v>
      </c>
      <c r="C6" s="52" t="s"/>
    </row>
    <row r="7" spans="1:3" ht="45">
      <c r="A7" s="53">
        <v>6</v>
      </c>
      <c r="B7" s="54" t="s">
        <v>316</v>
      </c>
      <c r="C7" s="52" t="s"/>
    </row>
    <row r="8" spans="1:3" ht="30">
      <c r="A8" s="53">
        <v>7</v>
      </c>
      <c r="B8" s="54" t="s">
        <v>317</v>
      </c>
      <c r="C8" s="52" t="s"/>
    </row>
    <row r="9" spans="1:3" ht="15">
      <c r="A9" s="55">
        <v>8</v>
      </c>
      <c r="B9" s="56" t="s">
        <v>318</v>
      </c>
      <c r="C9" s="52" t="s"/>
    </row>
    <row r="10" spans="1:2" ht="73.5" customHeight="1">
      <c r="A10" s="55">
        <v>9</v>
      </c>
      <c r="B10" s="56" t="s">
        <v>319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2026-09-14T17:37:04Z</dcterms:created>
  <dcterms:modified xsi:type="dcterms:W3CDTF">2026-09-14T17:37:04Z</dcterms:modified>
</cp:coreProperties>
</file>