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codeName="ThisWorkbook"/>
  <x15ac:absPath url="E:\0_work\1shijian\Software_testing\deliverables\module2\"/>
  <bookViews>
    <workbookView activeTab="0"/>
  </bookViews>
  <sheets>
    <sheet name="Information文档信息" sheetId="1" r:id="rId3"/>
    <sheet name="Test Cases测试用例" sheetId="2" r:id="rId4"/>
    <sheet name="Introduction使用说明" sheetId="3" r:id="rId5"/>
  </sheets>
  <definedNames>
    <definedName name="Result">'Test Cases测试用例'!$N$2:$N$5</definedName>
  </definedNames>
  <calcPr calcId="191029" concurrentCalc="0"/>
</workbook>
</file>

<file path=xl/sharedStrings.xml><?xml version="1.0" encoding="utf-8"?>
<sst xmlns="http://schemas.openxmlformats.org/spreadsheetml/2006/main" count="205" uniqueCount="205">
  <si>
    <t/>
  </si>
  <si>
    <t>模块二（AI 融合实践 · 方案1 测 AI）</t>
  </si>
  <si>
    <t>课程作业</t>
  </si>
  <si>
    <t>VGGT 深度图与 npz 点云输出</t>
  </si>
  <si>
    <t>【待填写：项目ID】</t>
  </si>
  <si>
    <t>【待填写：拟制人】</t>
  </si>
  <si>
    <t>【待填写：日期】</t>
  </si>
  <si>
    <t>【待填写：评审人】</t>
  </si>
  <si>
    <t>【待填写：批准人】</t>
  </si>
  <si>
    <t>模块二为 AI 融合实践，选定方案 1「测 AI」，被测对象为 VGGT 整个算法的输出：深度图（depth / depth_conf）与 npz 点云（world_points / world_points_from_depth）。共 15 条用例，围绕无真值几何自洽性指标 G1–G4 与鲁棒性扰动矩阵设计，覆盖帧数效应、分辨率、高斯噪声、遮挡、重复运行确定性、跨场景可用性与异常输入。实测通过 13 条、失败 2 条（M2-AI-010、M2-AI-015），对应缺陷 DEF-M2-002 与 DEF-M2-001。</t>
  </si>
  <si>
    <t>2026.09.11</t>
  </si>
  <si>
    <t>0.10</t>
  </si>
  <si>
    <t>N/A</t>
  </si>
  <si>
    <t>依据附录1模板建立《模块二测试用例清单》副本，清空模板示例数据</t>
  </si>
  <si>
    <t>【待填写】</t>
  </si>
  <si>
    <t>1.00</t>
  </si>
  <si>
    <t>DEF-M2-001、DEF-M2-002</t>
  </si>
  <si>
    <t>填入 15 条 AI 输出测试用例及实测执行结果（通过 POK 13、失败 NG 2），含 G1–G4 指标与鲁棒性扰动矩阵的实测数值</t>
  </si>
  <si>
    <t>xxx</t>
  </si>
  <si>
    <t>yyyy.mm.dd</t>
  </si>
  <si>
    <t>……</t>
  </si>
  <si>
    <t>Copy No.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</si>
  <si>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</si>
  <si>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</si>
  <si>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</si>
  <si>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</si>
  <si>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</si>
  <si>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</si>
  <si>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用例总个数</t>
  </si>
  <si>
    <t>是否自动用例</t>
  </si>
  <si>
    <t>是否新增修改用例</t>
  </si>
  <si>
    <t>M2-AI-001</t>
  </si>
  <si>
    <t>VGGT 输出整体（深度图 + npz 点云）</t>
  </si>
  <si>
    <t>基准场景自洽性基线测量（9 帧）</t>
  </si>
  <si>
    <t>高</t>
  </si>
  <si>
    <t>可自动化</t>
  </si>
  <si>
    <t>新增</t>
  </si>
  <si>
    <t>Pytorch_Vggt 环境可用（Python 3.10.20 + PyTorch 2.8.0+cu128）；权重 E:\0_work\1shijian\model.pt（5.02 GB）就位；NVIDIA RTX 3070 Laptop（8 GB 显存）；已归档 vggt_input/ 下对应场景图像。</t>
  </si>
  <si>
    <t>input-dir=vggt_input/002_computer（9 帧横构图教室场景）；conf_thres=3.0；prediction-modes=深度图与相机分支,点云图分支</t>
  </si>
  <si>
    <t>1. 执行 run_vggt_inference.py --input-dir vggt_input/002_computer --output-dir vggt_output/002_computer。
2. 执行 metrics.py vggt_output/002_computer/predictions.npz --conf-thres 3.0。
3. 记录 G1–G4 指标与加载/前馈耗时、峰值显存。</t>
  </si>
  <si>
    <t>四项自洽性指标均可统计；depth/ 下生成与帧数一致的深度图；predictions.npz 可读；两个预测分支 GLB 均为合法 glTF 且可加载。</t>
  </si>
  <si>
    <t>G1 相对误差 1.585e-3；G2 平均重投影像素误差 2.171 px（&lt;5 px 占 99.45%）；G3 深度置信均值 8.125、最大值 16.993；G4 NCC 0.8729。模型加载 10.26 s、前馈 16.62 s、端到端 40.3 s、峰值显存 8.467 GB；深度图 9/9 张。</t>
  </si>
  <si>
    <t>OK</t>
  </si>
  <si>
    <t>场景法：基准场景默认参数基线</t>
  </si>
  <si>
    <t>M2-AI-002</t>
  </si>
  <si>
    <t>帧数减少至 5 帧的自洽性退化</t>
  </si>
  <si>
    <t>中</t>
  </si>
  <si>
    <t>input-dir=002_computer 前 5 帧子集；conf_thres=3.0</t>
  </si>
  <si>
    <t>1. 取 002_computer 前 5 帧建立输入目录。
2. 执行推理与指标计算。
3. 与 9 帧基线对比。</t>
  </si>
  <si>
    <t>各项指标相对基线退化，但仍可统计。</t>
  </si>
  <si>
    <t>G1 相对误差 2.093e-3；G2 2.236 px；G3 深度置信均值 6.965、低置信占比 21.64%；G4 NCC 0.9153；峰值显存 7.662 GB。</t>
  </si>
  <si>
    <t>边界值：帧数下界方向</t>
  </si>
  <si>
    <t>POK</t>
  </si>
  <si>
    <t>M2-AI-003</t>
  </si>
  <si>
    <t>帧数减少至 2 帧的自洽性退化</t>
  </si>
  <si>
    <t>input-dir=002_computer 前 2 帧子集；conf_thres=3.0</t>
  </si>
  <si>
    <t>1. 取 002_computer 前 2 帧建立输入目录。
2. 执行推理与指标计算。
3. 与 5 帧、9 帧结果对比。</t>
  </si>
  <si>
    <t>各项指标进一步退化。</t>
  </si>
  <si>
    <t>G1 相对误差 3.062e-3；G2 2.710 px；G3 深度置信均值 5.092、低置信占比 23.78%；G4 NCC 0.9472；峰值显存 6.997 GB。</t>
  </si>
  <si>
    <t>NG</t>
  </si>
  <si>
    <t>M2-AI-004</t>
  </si>
  <si>
    <t>单帧输入时光度一致性指标应不可用</t>
  </si>
  <si>
    <t>input-dir=002_computer 第 1 帧；conf_thres=3.0</t>
  </si>
  <si>
    <t>1. 仅取 002_computer 第 1 帧建立输入目录。
2. 执行推理与指标计算。
3. 检查 G4 是否报告不可用而非给出错误数值。</t>
  </si>
  <si>
    <t>G4 因缺少帧对而报告不可用；G1–G3 仍可统计。</t>
  </si>
  <si>
    <t>G4 报告不可用（无有效帧对）；G1 相对误差 4.130e-3；G2 2.630 px；G3 深度置信均值 2.928、低置信占比 48.42%；峰值显存 6.869 GB。</t>
  </si>
  <si>
    <t>边界值：帧数最小边界 N=1</t>
  </si>
  <si>
    <t>NT</t>
  </si>
  <si>
    <t>M2-AI-005</t>
  </si>
  <si>
    <t>帧数—指标单调性检验（1→2→5→9）</t>
  </si>
  <si>
    <t>复用 M2-AI-001 至 M2-AI-004 四档运行结果</t>
  </si>
  <si>
    <t>1. 汇总 1、2、5、9 帧四档的 G1 相对误差与 G3 深度置信均值。
2. 检验指标是否随帧数单调改善。</t>
  </si>
  <si>
    <t>帧数增加时 G1 相对误差单调下降、深度置信均值单调上升。</t>
  </si>
  <si>
    <t>G1 相对误差 4.130e-3 → 3.062e-3 → 2.093e-3 → 1.585e-3，严格单调下降；深度置信均值 2.928 → 5.092 → 6.965 → 8.125，严格单调上升；低置信占比 48.42% → 23.78% → 21.64% → 21.90%。</t>
  </si>
  <si>
    <t>场景法：趋势验证</t>
  </si>
  <si>
    <t>M2-AI-006</t>
  </si>
  <si>
    <t>分辨率降为 0.5 倍的鲁棒性</t>
  </si>
  <si>
    <t>input-dir=002_computer 9 帧等比缩放到 0.5 倍；conf_thres=3.0</t>
  </si>
  <si>
    <t>1. 将 9 帧图像等比缩放到 0.5 倍并另存为输入目录。
2. 执行推理与指标计算。
3. 与基线对比。</t>
  </si>
  <si>
    <t>G2、G4 相对基线出现退化。</t>
  </si>
  <si>
    <t>结论与预期相反：未见显著退化。G1 相对误差 1.579e-3；G2 2.153 px；G4 NCC 0.8729，与基线同量级。</t>
  </si>
  <si>
    <t>错误推测法：分辨率扰动</t>
  </si>
  <si>
    <t>M2-AI-007</t>
  </si>
  <si>
    <t>高斯噪声 σ=10 的鲁棒性</t>
  </si>
  <si>
    <t>input-dir=002_computer 9 帧叠加均值 0、标准差 10 的高斯噪声（0–255 尺度，随机种子 20260911）；conf_thres=3.0</t>
  </si>
  <si>
    <t>1. 对 9 帧图像逐像素叠加高斯噪声并另存为输入目录。
2. 执行推理与指标计算。
3. 与基线对比。</t>
  </si>
  <si>
    <t>结论与预期相反：未见显著退化。G1 相对误差 1.766e-3；G2 2.105 px；G4 NCC 0.8759，与基线同量级。</t>
  </si>
  <si>
    <t>错误推测法：像素噪声扰动</t>
  </si>
  <si>
    <t>M2-AI-008</t>
  </si>
  <si>
    <t>随机遮挡 25% 面积的鲁棒性</t>
  </si>
  <si>
    <t>input-dir=002_computer 9 帧随机贴实心矩形遮挡，累计面积约 25%（随机种子 20260911）；conf_thres=3.0</t>
  </si>
  <si>
    <t>1. 对 9 帧图像施加约 25% 面积的随机遮挡并另存为输入目录。
2. 执行推理与指标计算。
3. 与基线对比。</t>
  </si>
  <si>
    <t>G1、G4 出现退化，低置信像素占比上升。</t>
  </si>
  <si>
    <t>发现显著退化：G4 NCC 由 0.8729 降至 0.5536（−36.6%）；低置信占比由 21.90% 升至 40.19%（+83.5%）；深度置信均值由 8.125 降至 5.333（−34.4%）；G1 相对误差 1.841e-3，变化不大。</t>
  </si>
  <si>
    <t>错误推测法：遮挡扰动</t>
  </si>
  <si>
    <t>M2-AI-009</t>
  </si>
  <si>
    <t>重复运行确定性检验</t>
  </si>
  <si>
    <t>Pytorch_Vggt 环境可用；权重 model.pt 就位；已保留基线运行的 predictions.npz；RTX 3070 Laptop（8 GB 显存）。</t>
  </si>
  <si>
    <t>input-dir=002_computer 9 帧（与基线完全相同）</t>
  </si>
  <si>
    <t>1. 用相同输入、独立进程重新执行一次推理。
2. 逐位比较两次输出的 depth、world_points、extrinsic、intrinsic。</t>
  </si>
  <si>
    <t>关键输出逐位一致。</t>
  </si>
  <si>
    <t>depth、world_points、extrinsic、intrinsic 四个字段的 max_abs_diff 与 mean_abs_diff 均为 0.0，完全逐位一致。</t>
  </si>
  <si>
    <t>场景法：可复现性</t>
  </si>
  <si>
    <t>M2-AI-010</t>
  </si>
  <si>
    <t>depth 深度图输出与 depth_conf 置信度</t>
  </si>
  <si>
    <t>竖构图近景场景在默认置信阈值下的可用性</t>
  </si>
  <si>
    <t>Pytorch_Vggt 环境可用（Python 3.10.20 + PyTorch 2.8.0+cu128）；权重 E:\0_work\1shijian\model.pt（5.02 GB）就位；NVIDIA RTX 3070 Laptop（8 GB 显存）；已归档 vggt_input/ 下对应场景图像。vggt_input/001_watercup 含 8 张 3072×4096 竖构图图像。</t>
  </si>
  <si>
    <t>input-dir=vggt_input/001_watercup（8 帧竖构图水杯近景）；conf_thres=3.0</t>
  </si>
  <si>
    <t>1. 执行 run_vggt_inference.py --input-dir vggt_input/001_watercup。
2. 以默认阈值执行 metrics.py --conf-thres 3.0。
3. 检查四项指标是否可统计。</t>
  </si>
  <si>
    <t>四项指标与基线同量级，可正常统计。</t>
  </si>
  <si>
    <t>失败。深度置信最大值仅 2.187，低于默认阈值 3.0，导致 G1/G2/G4 全部因“有效像素为 0”被跳过，且程序未给出任何降级提示。</t>
  </si>
  <si>
    <t>等价类：近景特写 / 低纹理 / 小基线场景</t>
  </si>
  <si>
    <t>M2-AI-011</t>
  </si>
  <si>
    <t>竖构图场景放宽置信阈值后的指标测量</t>
  </si>
  <si>
    <t>Pytorch_Vggt 环境可用；已取得 vggt_input/001_watercup 的 predictions.npz；指标计算不需要 GPU。</t>
  </si>
  <si>
    <t>001_watercup 的 predictions.npz；conf_thres=1.0</t>
  </si>
  <si>
    <t>1. 对同一 npz 执行 metrics.py --conf-thres 1.0。
2. 记录 G1–G4。
3. 与 002_computer 基线对比。</t>
  </si>
  <si>
    <t>指标可统计，数值与基线同量级。</t>
  </si>
  <si>
    <t>G1 相对误差 2.973e-2（基线的 18.8 倍）；G2 平均重投影像素误差 41.447 px（19.1 倍）；G3 深度置信均值 1.118；G4 NCC 0.4919（基线 0.8729）。</t>
  </si>
  <si>
    <t>边界值：置信度阈值下探</t>
  </si>
  <si>
    <t>M2-AI-012</t>
  </si>
  <si>
    <t>排除裁切影响：竖构图补白成正方形后重测</t>
  </si>
  <si>
    <t>Pytorch_Vggt 环境可用（Python 3.10.20 + PyTorch 2.8.0+cu128）；权重 E:\0_work\1shijian\model.pt（5.02 GB）就位；NVIDIA RTX 3070 Laptop（8 GB 显存）；已归档 vggt_input/ 下对应场景图像。vggt_input/001_watercup 原始 8 张图像。</t>
  </si>
  <si>
    <t>001_watercup 8 帧居中补白到 4096×4096 正方形；conf_thres=1.0</t>
  </si>
  <si>
    <t>1. 将每张图居中补白成正方形，使 crop 预处理不再发生高度裁切。
2. 执行推理与指标计算。
3. 与原竖构图结果对比。</t>
  </si>
  <si>
    <t>若预处理裁切是退化主因，则指标应显著改善。</t>
  </si>
  <si>
    <t>假说被否证：指标未改善。G1 相对误差 3.629e-2；G2 39.237 px；深度置信均值 1.051；G4 NCC 0.6465，甚至略差于原结果。结论：退化由场景本身（近景、低纹理、小基线）导致，裁切不是主因。</t>
  </si>
  <si>
    <t>错误推测法：控制变量定位退化成因</t>
  </si>
  <si>
    <t>M2-AI-013</t>
  </si>
  <si>
    <t>run_vggt_inference.py 推理入口（输入校验）</t>
  </si>
  <si>
    <t>空输入目录的异常处理</t>
  </si>
  <si>
    <t>Pytorch_Vggt 环境可用；权重 model.pt 就位。</t>
  </si>
  <si>
    <t>不含任何图像的空目录（0 张图像）</t>
  </si>
  <si>
    <t>1. 执行 run_vggt_inference.py --input-dir &lt;空目录&gt; --output-dir &lt;输出目录&gt;。
2. 观察报错信息与退出码。
3. 检查是否创建了输出目录。</t>
  </si>
  <si>
    <t>给出明确的中文错误提示，以非零退出码结束，不产生垃圾产物。</t>
  </si>
  <si>
    <t>输出“[错误] 输入目录中没有图像: &lt;路径&gt;”，退出码 1，未创建输出目录。</t>
  </si>
  <si>
    <t>错误推测法：异常输入</t>
  </si>
  <si>
    <t>M2-AI-014</t>
  </si>
  <si>
    <t>输入目录不存在的异常处理</t>
  </si>
  <si>
    <t>不存在的输入目录路径</t>
  </si>
  <si>
    <t>1. 执行 run_vggt_inference.py --input-dir &lt;不存在的路径&gt; --output-dir &lt;输出目录&gt;。
2. 观察报错信息与退出码。</t>
  </si>
  <si>
    <t>给出明确的中文错误提示，以非零退出码结束。</t>
  </si>
  <si>
    <t>输出“[错误] 输入目录不存在: &lt;路径&gt;”，退出码 1。</t>
  </si>
  <si>
    <t>M2-AI-015</t>
  </si>
  <si>
    <t>损坏图像文件的异常处理</t>
  </si>
  <si>
    <t>内容为 not an image、扩展名为 broken.jpg 的损坏文件（1 个文件）</t>
  </si>
  <si>
    <t>1. 新建目录并放入损坏的 broken.jpg。
2. 执行 run_vggt_inference.py --input-dir &lt;该目录&gt;。
3. 观察报错信息、退出码与残留产物。</t>
  </si>
  <si>
    <t>给出明确的中文错误提示，以非零退出码结束，不残留半成品产物。</t>
  </si>
  <si>
    <t>失败。抛出未捕获的 PIL.UnidentifiedImageError 原始堆栈，退出码 1，且残留半成品输出目录（images/ 已写入、无 predictions.npz）。定位 vggt/utils/load_fn.py:140 的 Image.open 未做异常处理，登记为缺陷 DEF-M2-001。</t>
  </si>
  <si>
    <t>VGGT 推理输出（深度图与 npz 点云）</t>
  </si>
  <si>
    <t>VGGT 批量推理入口（run_vggt_inference.py）</t>
  </si>
  <si>
    <t>失败。深度置信最大值仅 2.187，低于默认阈值 3.0，导致 G1/G2/G4 全部因“有效像素为 0”被跳过，且程序未给出任何降级提示。定位 metrics.py 的置信度筛选逻辑，登记为缺陷 DEF-M2-003（置信度过滤阈值跨场景静默失效）；修复方向：低置信场景应报告「不可用」并提示改用绝对阈值。</t>
  </si>
  <si>
    <t>假说被否证：指标未改善。G1 相对误差 3.629e-2；G2 39.237 px；深度置信均值 1.051；G4 NCC 0.6465，甚至略差于原结果。结论：退化由场景本身（近景、低纹理、小基线）导致，裁切不是主因。同时暴露并登记缺陷 DEF-M2-002：crop 模式对 3:4 竖构图静默裁切 24.5% 纵向视野且无提示。</t>
  </si>
  <si>
    <r>
      <rPr>
        <rFont val="Times New Roman"/>
        <charset val="134"/>
        <b val="1"/>
        <sz val="18"/>
      </rPr>
      <t xml:space="preserve">Test  Case Form </t>
    </r>
    <r>
      <rPr>
        <rFont val="宋体"/>
        <charset val="134"/>
        <b val="1"/>
        <sz val="18"/>
      </rPr>
      <t>测试用例表单</t>
    </r>
  </si>
  <si>
    <r>
      <rPr>
        <rFont val="Times New Roman"/>
        <charset val="134"/>
        <sz val="12"/>
      </rPr>
      <t xml:space="preserve">General Information </t>
    </r>
    <r>
      <rPr>
        <rFont val="宋体"/>
        <charset val="134"/>
        <sz val="12"/>
      </rPr>
      <t>基本信息</t>
    </r>
  </si>
  <si>
    <r>
      <rPr>
        <rFont val="Times New Roman"/>
        <charset val="134"/>
        <sz val="12"/>
      </rPr>
      <t xml:space="preserve">Product Verion </t>
    </r>
    <r>
      <rPr>
        <rFont val="宋体"/>
        <charset val="134"/>
        <sz val="12"/>
      </rPr>
      <t>产品版本</t>
    </r>
  </si>
  <si>
    <r>
      <rPr>
        <rFont val="Times New Roman"/>
        <charset val="134"/>
        <sz val="12"/>
      </rPr>
      <t xml:space="preserve">Confidentiality level </t>
    </r>
    <r>
      <rPr>
        <rFont val="宋体"/>
        <charset val="134"/>
        <sz val="12"/>
      </rPr>
      <t>密级</t>
    </r>
  </si>
  <si>
    <r>
      <rPr>
        <rFont val="Times New Roman"/>
        <charset val="134"/>
        <sz val="12"/>
      </rPr>
      <t xml:space="preserve">Project Name </t>
    </r>
    <r>
      <rPr>
        <rFont val="宋体"/>
        <charset val="134"/>
        <sz val="12"/>
      </rPr>
      <t>项目名称</t>
    </r>
  </si>
  <si>
    <r>
      <rPr>
        <rFont val="Times New Roman"/>
        <charset val="134"/>
        <sz val="12"/>
      </rPr>
      <t xml:space="preserve">Project ID </t>
    </r>
    <r>
      <rPr>
        <rFont val="宋体"/>
        <charset val="134"/>
        <sz val="12"/>
      </rPr>
      <t>项目</t>
    </r>
    <r>
      <rPr>
        <rFont val="Times New Roman"/>
        <charset val="134"/>
        <sz val="12"/>
      </rPr>
      <t>ID</t>
    </r>
  </si>
  <si>
    <r>
      <rPr>
        <rFont val="Times New Roman"/>
        <charset val="134"/>
        <sz val="12"/>
      </rPr>
      <t xml:space="preserve">Prepared by </t>
    </r>
    <r>
      <rPr>
        <rFont val="宋体"/>
        <charset val="134"/>
        <sz val="12"/>
      </rPr>
      <t>拟制</t>
    </r>
  </si>
  <si>
    <r>
      <rPr>
        <rFont val="Times New Roman"/>
        <charset val="134"/>
        <sz val="12"/>
      </rPr>
      <t xml:space="preserve">Date </t>
    </r>
    <r>
      <rPr>
        <rFont val="宋体"/>
        <charset val="134"/>
        <sz val="12"/>
      </rPr>
      <t>日期</t>
    </r>
  </si>
  <si>
    <r>
      <rPr>
        <rFont val="Times New Roman"/>
        <charset val="134"/>
        <sz val="12"/>
      </rPr>
      <t xml:space="preserve">Reviewed by </t>
    </r>
    <r>
      <rPr>
        <rFont val="宋体"/>
        <charset val="134"/>
        <sz val="12"/>
      </rPr>
      <t>评审人</t>
    </r>
  </si>
  <si>
    <r>
      <rPr>
        <rFont val="Times New Roman"/>
        <charset val="134"/>
        <sz val="12"/>
      </rPr>
      <t xml:space="preserve">Approved by </t>
    </r>
    <r>
      <rPr>
        <rFont val="宋体"/>
        <charset val="134"/>
        <sz val="12"/>
      </rPr>
      <t>批准</t>
    </r>
  </si>
  <si>
    <r>
      <rPr>
        <rFont val="Times New Roman"/>
        <charset val="134"/>
        <sz val="12"/>
      </rPr>
      <t xml:space="preserve">Number of Test cases </t>
    </r>
    <r>
      <rPr>
        <rFont val="宋体"/>
        <charset val="134"/>
        <sz val="12"/>
      </rPr>
      <t>测试用例数</t>
    </r>
  </si>
  <si>
    <r>
      <rPr>
        <rFont val="Times New Roman"/>
        <charset val="134"/>
        <sz val="12"/>
      </rPr>
      <t xml:space="preserve">Introduction </t>
    </r>
    <r>
      <rPr>
        <rFont val="宋体"/>
        <charset val="134"/>
        <sz val="12"/>
      </rPr>
      <t>概述</t>
    </r>
  </si>
  <si>
    <r>
      <rPr>
        <rFont val="Times New Roman"/>
        <charset val="134"/>
        <sz val="12"/>
      </rPr>
      <t xml:space="preserve">Revision Record </t>
    </r>
    <r>
      <rPr>
        <rFont val="宋体"/>
        <charset val="134"/>
        <sz val="12"/>
      </rPr>
      <t>修订记录</t>
    </r>
  </si>
  <si>
    <r>
      <rPr>
        <rFont val="Times New Roman"/>
        <charset val="134"/>
        <sz val="12"/>
      </rPr>
      <t xml:space="preserve">Date </t>
    </r>
    <r>
      <rPr>
        <rFont val="宋体"/>
        <charset val="134"/>
        <sz val="12"/>
      </rPr>
      <t>日期</t>
    </r>
    <r>
      <rPr>
        <rFont val="Times New Roman"/>
        <charset val="134"/>
        <sz val="12"/>
      </rPr>
      <t xml:space="preserve"> </t>
    </r>
  </si>
  <si>
    <r>
      <rPr>
        <rFont val="Times New Roman"/>
        <charset val="134"/>
        <sz val="12"/>
      </rPr>
      <t xml:space="preserve">Revision Version </t>
    </r>
    <r>
      <rPr>
        <rFont val="宋体"/>
        <charset val="134"/>
        <sz val="12"/>
      </rPr>
      <t>修订</t>
    </r>
    <r>
      <rPr>
        <rFont val="Times New Roman"/>
        <charset val="134"/>
        <sz val="12"/>
      </rPr>
      <t xml:space="preserve"> </t>
    </r>
    <r>
      <rPr>
        <rFont val="宋体"/>
        <charset val="134"/>
        <sz val="12"/>
      </rPr>
      <t>版本</t>
    </r>
  </si>
  <si>
    <r>
      <rPr>
        <rFont val="Times New Roman"/>
        <charset val="134"/>
        <sz val="12"/>
      </rPr>
      <t>CR ID / Defect ID CR</t>
    </r>
    <r>
      <rPr>
        <rFont val="宋体"/>
        <charset val="134"/>
        <sz val="12"/>
      </rPr>
      <t>号</t>
    </r>
  </si>
  <si>
    <r>
      <rPr>
        <rFont val="Times New Roman"/>
        <charset val="134"/>
        <sz val="12"/>
      </rPr>
      <t xml:space="preserve">Change Description </t>
    </r>
    <r>
      <rPr>
        <rFont val="宋体"/>
        <charset val="134"/>
        <sz val="12"/>
      </rPr>
      <t>修改描述</t>
    </r>
  </si>
  <si>
    <r>
      <rPr>
        <rFont val="Times New Roman"/>
        <charset val="134"/>
        <sz val="12"/>
      </rPr>
      <t xml:space="preserve">Author </t>
    </r>
    <r>
      <rPr>
        <rFont val="宋体"/>
        <charset val="134"/>
        <sz val="12"/>
      </rPr>
      <t>作者</t>
    </r>
  </si>
  <si>
    <r>
      <rPr>
        <rFont val="Times New Roman"/>
        <charset val="134"/>
        <sz val="12"/>
      </rPr>
      <t xml:space="preserve">revised xxx </t>
    </r>
    <r>
      <rPr>
        <rFont val="宋体"/>
        <charset val="134"/>
        <sz val="12"/>
      </rPr>
      <t>修改</t>
    </r>
    <r>
      <rPr>
        <rFont val="Times New Roman"/>
        <charset val="134"/>
        <sz val="12"/>
      </rPr>
      <t>XXX Xxx Xxx ...</t>
    </r>
  </si>
  <si>
    <r>
      <rPr>
        <rFont val="Times New Roman"/>
        <charset val="134"/>
        <sz val="12"/>
      </rPr>
      <t xml:space="preserve">Name </t>
    </r>
    <r>
      <rPr>
        <rFont val="宋体"/>
        <charset val="134"/>
        <sz val="12"/>
      </rPr>
      <t>作者名</t>
    </r>
  </si>
  <si>
    <r>
      <rPr>
        <rFont val="Times New Roman"/>
        <charset val="134"/>
        <sz val="12"/>
      </rPr>
      <t xml:space="preserve">Distribution LIST </t>
    </r>
    <r>
      <rPr>
        <rFont val="宋体"/>
        <charset val="134"/>
        <sz val="12"/>
      </rPr>
      <t>分发记录</t>
    </r>
  </si>
  <si>
    <r>
      <rPr>
        <rFont val="Times New Roman"/>
        <charset val="134"/>
        <sz val="12"/>
      </rPr>
      <t xml:space="preserve">Holder's Name &amp; Role  </t>
    </r>
    <r>
      <rPr>
        <rFont val="宋体"/>
        <charset val="134"/>
        <sz val="12"/>
      </rPr>
      <t>持有者和角色</t>
    </r>
  </si>
  <si>
    <r>
      <rPr>
        <rFont val="Times New Roman"/>
        <charset val="134"/>
        <sz val="12"/>
      </rPr>
      <t xml:space="preserve">Issue Date  </t>
    </r>
    <r>
      <rPr>
        <rFont val="宋体"/>
        <charset val="134"/>
        <sz val="12"/>
      </rPr>
      <t>分发日期</t>
    </r>
  </si>
  <si>
    <r>
      <rPr>
        <rFont val="Times New Roman"/>
        <charset val="134"/>
        <sz val="12"/>
      </rPr>
      <t>OK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</si>
  <si>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OK</t>
    </r>
    <r>
      <rPr>
        <rFont val="宋体"/>
        <charset val="134"/>
        <sz val="12"/>
      </rPr>
      <t>率</t>
    </r>
  </si>
  <si>
    <r>
      <rPr>
        <rFont val="Times New Roman"/>
        <charset val="134"/>
        <sz val="12"/>
      </rPr>
      <t>POK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</si>
  <si>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POK</t>
    </r>
    <r>
      <rPr>
        <rFont val="宋体"/>
        <charset val="134"/>
        <sz val="12"/>
      </rPr>
      <t>率</t>
    </r>
  </si>
  <si>
    <r>
      <rPr>
        <rFont val="Times New Roman"/>
        <charset val="134"/>
        <sz val="12"/>
      </rPr>
      <t>NG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</si>
  <si>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NG</t>
    </r>
    <r>
      <rPr>
        <rFont val="宋体"/>
        <charset val="134"/>
        <sz val="12"/>
      </rPr>
      <t>率</t>
    </r>
  </si>
  <si>
    <r>
      <rPr>
        <rFont val="Times New Roman"/>
        <charset val="134"/>
        <sz val="12"/>
      </rPr>
      <t>NT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</si>
  <si>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NT</t>
    </r>
    <r>
      <rPr>
        <rFont val="宋体"/>
        <charset val="134"/>
        <sz val="12"/>
      </rPr>
      <t>率</t>
    </r>
  </si>
  <si>
    <r>
      <rPr>
        <rFont val="Times New Roman"/>
        <charset val="134"/>
        <b val="1"/>
        <sz val="12"/>
      </rPr>
      <t xml:space="preserve">Test Case ID </t>
    </r>
    <r>
      <rPr>
        <rFont val="宋体"/>
        <charset val="134"/>
        <b val="1"/>
        <sz val="12"/>
      </rPr>
      <t>测试用例编号</t>
    </r>
  </si>
  <si>
    <r>
      <rPr>
        <rFont val="Times New Roman"/>
        <charset val="134"/>
        <b val="1"/>
        <sz val="12"/>
      </rPr>
      <t xml:space="preserve">Test Item </t>
    </r>
    <r>
      <rPr>
        <rFont val="宋体"/>
        <charset val="134"/>
        <b val="1"/>
        <sz val="12"/>
      </rPr>
      <t>测试项（即功能模块或函数）</t>
    </r>
  </si>
  <si>
    <r>
      <rPr>
        <rFont val="Times New Roman"/>
        <charset val="134"/>
        <b val="1"/>
        <sz val="12"/>
      </rPr>
      <t xml:space="preserve">Test Case Title </t>
    </r>
    <r>
      <rPr>
        <rFont val="宋体"/>
        <charset val="134"/>
        <b val="1"/>
        <sz val="12"/>
      </rPr>
      <t>测试用例标题</t>
    </r>
  </si>
  <si>
    <r>
      <rPr>
        <rFont val="Times New Roman"/>
        <charset val="134"/>
        <b val="1"/>
        <sz val="12"/>
      </rPr>
      <t>Test Criticality</t>
    </r>
    <r>
      <rPr>
        <rFont val="宋体"/>
        <charset val="134"/>
        <b val="1"/>
        <sz val="12"/>
      </rPr>
      <t>重要级别</t>
    </r>
  </si>
  <si>
    <r>
      <rPr>
        <rFont val="Times New Roman"/>
        <charset val="134"/>
        <b val="1"/>
        <sz val="12"/>
      </rPr>
      <t xml:space="preserve">Pre-condition </t>
    </r>
    <r>
      <rPr>
        <rFont val="宋体"/>
        <charset val="134"/>
        <b val="1"/>
        <sz val="12"/>
      </rPr>
      <t>预置条件</t>
    </r>
  </si>
  <si>
    <r>
      <rPr>
        <rFont val="Times New Roman"/>
        <charset val="134"/>
        <b val="1"/>
        <sz val="12"/>
      </rPr>
      <t xml:space="preserve">Input </t>
    </r>
    <r>
      <rPr>
        <rFont val="宋体"/>
        <charset val="134"/>
        <b val="1"/>
        <sz val="12"/>
      </rPr>
      <t>输入</t>
    </r>
  </si>
  <si>
    <r>
      <rPr>
        <rFont val="Times New Roman"/>
        <charset val="134"/>
        <b val="1"/>
        <sz val="12"/>
      </rPr>
      <t xml:space="preserve">Procedure </t>
    </r>
    <r>
      <rPr>
        <rFont val="宋体"/>
        <charset val="134"/>
        <b val="1"/>
        <sz val="12"/>
      </rPr>
      <t>操作步骤</t>
    </r>
  </si>
  <si>
    <r>
      <rPr>
        <rFont val="Times New Roman"/>
        <charset val="134"/>
        <b val="1"/>
        <sz val="12"/>
      </rPr>
      <t xml:space="preserve">Output </t>
    </r>
    <r>
      <rPr>
        <rFont val="宋体"/>
        <charset val="134"/>
        <b val="1"/>
        <sz val="12"/>
      </rPr>
      <t>预期结果</t>
    </r>
  </si>
  <si>
    <r>
      <rPr>
        <rFont val="Times New Roman"/>
        <charset val="134"/>
        <b val="1"/>
        <sz val="12"/>
      </rPr>
      <t xml:space="preserve">Result
</t>
    </r>
    <r>
      <rPr>
        <rFont val="宋体"/>
        <charset val="134"/>
        <b val="1"/>
        <sz val="12"/>
      </rPr>
      <t>实际结果</t>
    </r>
  </si>
  <si>
    <r>
      <rPr>
        <rFont val="Times New Roman"/>
        <charset val="134"/>
        <b val="1"/>
        <sz val="12"/>
      </rPr>
      <t xml:space="preserve">Status
</t>
    </r>
    <r>
      <rPr>
        <rFont val="宋体"/>
        <charset val="134"/>
        <b val="1"/>
        <sz val="12"/>
      </rPr>
      <t>是否通过</t>
    </r>
  </si>
  <si>
    <r>
      <rPr>
        <rFont val="Times New Roman"/>
        <charset val="134"/>
        <b val="1"/>
        <sz val="12"/>
      </rPr>
      <t xml:space="preserve">Remark </t>
    </r>
    <r>
      <rPr>
        <rFont val="宋体"/>
        <charset val="134"/>
        <b val="1"/>
        <sz val="12"/>
      </rPr>
      <t>备注</t>
    </r>
    <r>
      <rPr>
        <rFont val="宋体"/>
        <charset val="134"/>
        <b val="1"/>
        <color indexed="10"/>
        <sz val="12"/>
      </rPr>
      <t>（在此描述使用的测试方法）</t>
    </r>
  </si>
  <si>
    <r>
      <rPr>
        <rFont val="Times New Roman"/>
        <charset val="134"/>
        <b val="1"/>
        <sz val="12"/>
      </rPr>
      <t xml:space="preserve">Introduction </t>
    </r>
    <r>
      <rPr>
        <rFont val="宋体"/>
        <charset val="134"/>
        <b val="1"/>
        <sz val="12"/>
      </rPr>
      <t>使用说明</t>
    </r>
  </si>
  <si>
    <r>
      <rPr>
        <rFont val="Times New Roman"/>
        <charset val="134"/>
        <sz val="11"/>
      </rPr>
      <t xml:space="preserve">There are two sheets in the Test Case Form. One is "Information", the other is "Test Cases" sheet. </t>
    </r>
    <r>
      <rPr>
        <rFont val="宋体"/>
        <charset val="134"/>
        <sz val="11"/>
      </rPr>
      <t>测试用例表包含两个表单：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基本信息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表单和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测试用例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表单。</t>
    </r>
  </si>
  <si>
    <r>
      <rPr>
        <rFont val="Times New Roman"/>
        <charset val="134"/>
        <sz val="11"/>
      </rPr>
      <t xml:space="preserve">The test cases can be multilevel. </t>
    </r>
    <r>
      <rPr>
        <rFont val="宋体"/>
        <charset val="134"/>
        <sz val="11"/>
      </rPr>
      <t>本测试用例模板支持分层。</t>
    </r>
  </si>
  <si>
    <r>
      <rPr>
        <rFont val="Times New Roman"/>
        <charset val="134"/>
        <sz val="11"/>
      </rPr>
      <t xml:space="preserve">If project need multilevel, they can add column beside "test item" and "test case" column at "Test Cases" sheet. </t>
    </r>
    <r>
      <rPr>
        <rFont val="宋体"/>
        <charset val="134"/>
        <sz val="11"/>
      </rPr>
      <t>项目组如果需要多级分层，可在</t>
    </r>
    <r>
      <rPr>
        <rFont val="Times New Roman"/>
        <charset val="134"/>
        <sz val="11"/>
      </rPr>
      <t>“Test cases”</t>
    </r>
    <r>
      <rPr>
        <rFont val="宋体"/>
        <charset val="134"/>
        <sz val="11"/>
      </rPr>
      <t>页面中的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测试项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和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测试用例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之间增加列。例如增加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测试子项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。</t>
    </r>
  </si>
  <si>
    <r>
      <rPr>
        <rFont val="Times New Roman"/>
        <charset val="134"/>
        <sz val="11"/>
      </rPr>
      <t xml:space="preserve">The number of test cases is low level test cases' number, it is automatic calculate. </t>
    </r>
    <r>
      <rPr>
        <rFont val="宋体"/>
        <charset val="134"/>
        <sz val="11"/>
      </rPr>
      <t>测试用例的统计使用小测试用例统计，自动统计。</t>
    </r>
  </si>
  <si>
    <r>
      <rPr>
        <rFont val="Times New Roman"/>
        <charset val="134"/>
        <sz val="11"/>
      </rPr>
      <t xml:space="preserve">The Test Case Form should not use as test record. </t>
    </r>
    <r>
      <rPr>
        <rFont val="宋体"/>
        <charset val="134"/>
        <sz val="11"/>
      </rPr>
      <t>本测试用例表单不能作为测试记录使用。</t>
    </r>
  </si>
  <si>
    <r>
      <rPr>
        <rFont val="Times New Roman"/>
        <charset val="134"/>
        <sz val="11"/>
      </rPr>
      <t xml:space="preserve">Test cases ID shall follow the ID rules defined in Test strategy. For example,"Project ID-UT(IT,ST)-nnn". </t>
    </r>
    <r>
      <rPr>
        <rFont val="宋体"/>
        <charset val="134"/>
        <sz val="11"/>
      </rPr>
      <t>测试用例的编号应符合测试策略中对编号规则的要求。例如，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项目编码</t>
    </r>
    <r>
      <rPr>
        <rFont val="Times New Roman"/>
        <charset val="134"/>
        <sz val="11"/>
      </rPr>
      <t xml:space="preserve"> -UT</t>
    </r>
    <r>
      <rPr>
        <rFont val="宋体"/>
        <charset val="134"/>
        <sz val="11"/>
      </rPr>
      <t>（或</t>
    </r>
    <r>
      <rPr>
        <rFont val="Times New Roman"/>
        <charset val="134"/>
        <sz val="11"/>
      </rPr>
      <t>IT</t>
    </r>
    <r>
      <rPr>
        <rFont val="宋体"/>
        <charset val="134"/>
        <sz val="11"/>
      </rPr>
      <t>，</t>
    </r>
    <r>
      <rPr>
        <rFont val="Times New Roman"/>
        <charset val="134"/>
        <sz val="11"/>
      </rPr>
      <t>ST</t>
    </r>
    <r>
      <rPr>
        <rFont val="宋体"/>
        <charset val="134"/>
        <sz val="11"/>
      </rPr>
      <t>）</t>
    </r>
    <r>
      <rPr>
        <rFont val="Times New Roman"/>
        <charset val="134"/>
        <sz val="11"/>
      </rPr>
      <t>-nnn”</t>
    </r>
    <r>
      <rPr>
        <rFont val="宋体"/>
        <charset val="134"/>
        <sz val="11"/>
      </rPr>
      <t>。</t>
    </r>
  </si>
  <si>
    <r>
      <rPr>
        <rFont val="Times New Roman"/>
        <charset val="134"/>
        <sz val="11"/>
      </rPr>
      <t>Test Criticality</t>
    </r>
    <r>
      <rPr>
        <rFont val="宋体"/>
        <charset val="134"/>
        <sz val="11"/>
      </rPr>
      <t>重要级别定义为：</t>
    </r>
    <r>
      <rPr>
        <rFont val="Times New Roman"/>
        <charset val="134"/>
        <sz val="11"/>
      </rPr>
      <t>Specify High/Medium/Low.</t>
    </r>
    <r>
      <rPr>
        <rFont val="宋体"/>
        <charset val="134"/>
        <sz val="11"/>
      </rPr>
      <t>描述测试用例的重要级别：高</t>
    </r>
    <r>
      <rPr>
        <rFont val="Times New Roman"/>
        <charset val="134"/>
        <sz val="11"/>
      </rPr>
      <t>/</t>
    </r>
    <r>
      <rPr>
        <rFont val="宋体"/>
        <charset val="134"/>
        <sz val="11"/>
      </rPr>
      <t>中</t>
    </r>
    <r>
      <rPr>
        <rFont val="Times New Roman"/>
        <charset val="134"/>
        <sz val="11"/>
      </rPr>
      <t>/</t>
    </r>
    <r>
      <rPr>
        <rFont val="宋体"/>
        <charset val="134"/>
        <sz val="11"/>
      </rPr>
      <t>低</t>
    </r>
    <r>
      <rPr>
        <rFont val="Times New Roman"/>
        <charset val="134"/>
        <sz val="11"/>
      </rPr>
      <t>.</t>
    </r>
  </si>
  <si>
    <r>
      <rPr>
        <rFont val="Times New Roman"/>
        <charset val="134"/>
        <sz val="11"/>
      </rPr>
      <t xml:space="preserve">Output </t>
    </r>
    <r>
      <rPr>
        <rFont val="宋体"/>
        <charset val="134"/>
        <sz val="11"/>
      </rPr>
      <t>预期输出：</t>
    </r>
    <r>
      <rPr>
        <rFont val="Times New Roman"/>
        <charset val="134"/>
        <sz val="11"/>
      </rPr>
      <t>Provide the expected result after performing the test</t>
    </r>
    <r>
      <rPr>
        <rFont val="宋体"/>
        <charset val="134"/>
        <sz val="11"/>
      </rPr>
      <t>提供测试执行的预期结果</t>
    </r>
  </si>
  <si>
    <r>
      <rPr>
        <rFont val="Times New Roman"/>
        <charset val="134"/>
        <sz val="11"/>
      </rPr>
      <t>R</t>
    </r>
    <r>
      <rPr>
        <rFont val="Times New Roman"/>
        <charset val="134"/>
        <sz val="12"/>
      </rPr>
      <t xml:space="preserve">esult </t>
    </r>
    <r>
      <rPr>
        <rFont val="宋体"/>
        <charset val="134"/>
        <sz val="12"/>
      </rPr>
      <t>实际输出</t>
    </r>
    <r>
      <rPr>
        <rFont val="Times New Roman"/>
        <charset val="134"/>
        <sz val="12"/>
      </rPr>
      <t>:Provide the result after performing the test</t>
    </r>
    <r>
      <rPr>
        <rFont val="宋体"/>
        <charset val="134"/>
        <sz val="12"/>
      </rPr>
      <t xml:space="preserve">提供测试结果
</t>
    </r>
    <r>
      <rPr>
        <rFont val="Times New Roman"/>
        <charset val="134"/>
        <sz val="12"/>
      </rPr>
      <t>OK:</t>
    </r>
    <r>
      <rPr>
        <rFont val="宋体"/>
        <charset val="134"/>
        <sz val="12"/>
      </rPr>
      <t xml:space="preserve">测试通过
</t>
    </r>
    <r>
      <rPr>
        <rFont val="Times New Roman"/>
        <charset val="134"/>
        <sz val="12"/>
      </rPr>
      <t>POK:</t>
    </r>
    <r>
      <rPr>
        <rFont val="宋体"/>
        <charset val="134"/>
        <sz val="12"/>
      </rPr>
      <t xml:space="preserve">部分通过
</t>
    </r>
    <r>
      <rPr>
        <rFont val="Times New Roman"/>
        <charset val="134"/>
        <sz val="12"/>
      </rPr>
      <t>NG:</t>
    </r>
    <r>
      <rPr>
        <rFont val="宋体"/>
        <charset val="134"/>
        <sz val="12"/>
      </rPr>
      <t xml:space="preserve">不能通过
</t>
    </r>
    <r>
      <rPr>
        <rFont val="Times New Roman"/>
        <charset val="134"/>
        <sz val="12"/>
      </rPr>
      <t>NT:</t>
    </r>
    <r>
      <rPr>
        <rFont val="宋体"/>
        <charset val="134"/>
        <sz val="12"/>
      </rPr>
      <t>测试用例错误</t>
    </r>
    <r>
      <rPr>
        <rFont val="Times New Roman"/>
        <charset val="134"/>
        <sz val="12"/>
      </rPr>
      <t>,</t>
    </r>
    <r>
      <rPr>
        <rFont val="宋体"/>
        <charset val="134"/>
        <sz val="12"/>
      </rPr>
      <t>测试无法执行</t>
    </r>
  </si>
</sst>
</file>

<file path=xl/styles.xml><?xml version="1.0" encoding="utf-8"?>
<styleSheet xmlns="http://schemas.openxmlformats.org/spreadsheetml/2006/main">
  <numFmts count="8">
    <numFmt numFmtId="300" formatCode="yyyy\.mm\.dd"/>
    <numFmt numFmtId="301" formatCode="yy\.mm\.dd"/>
    <numFmt numFmtId="302" formatCode="General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0%"/>
    <numFmt numFmtId="306" formatCode="_ * #,##0_ ;_ * \-#,##0_ ;_ * &quot;-&quot;_ ;_ @_ "/>
    <numFmt numFmtId="307" formatCode="_ &quot;￥&quot;* #,##0_ ;_ &quot;￥&quot;* \-#,##0_ ;_ &quot;￥&quot;* &quot;-&quot;_ ;_ @_ "/>
  </numFmts>
  <fonts count="33">
    <font>
      <name val="Arial"/>
      <charset val="134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  <charset val="134"/>
      <b val="1"/>
      <sz val="18"/>
    </font>
    <font>
      <name val="Times New Roman"/>
      <charset val="134"/>
      <sz val="11"/>
    </font>
    <font>
      <name val="Times New Roman"/>
      <charset val="134"/>
      <sz val="12"/>
    </font>
    <font>
      <name val="宋体"/>
      <charset val="134"/>
      <i val="1"/>
      <color indexed="10"/>
      <sz val="11"/>
    </font>
    <font>
      <name val="Times New Roman"/>
      <charset val="134"/>
      <i val="1"/>
      <color indexed="10"/>
      <sz val="11"/>
    </font>
    <font>
      <name val="宋体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12"/>
    </font>
    <font>
      <name val="宋体"/>
      <charset val="134"/>
      <b val="1"/>
      <sz val="12"/>
    </font>
    <font>
      <name val="Arial"/>
      <charset val="134"/>
      <sz val="12"/>
    </font>
    <font>
      <name val="宋体"/>
      <charset val="0"/>
      <color rgb="FF0000FF"/>
      <sz val="11"/>
      <u/>
      <scheme val="minor"/>
    </font>
    <font>
      <name val="黑体"/>
      <charset val="134"/>
      <color theme="1"/>
      <sz val="11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2" fontId="12" fillId="0" borderId="17" xfId="0"/>
    <xf numFmtId="302" fontId="13" fillId="7" borderId="17" xfId="0" applyNumberFormat="0" applyFill="0" applyBorder="0" applyAlignment="0" applyProtection="0">
      <alignment vertical="center"/>
    </xf>
    <xf numFmtId="303" fontId="14" fillId="7" borderId="17" xfId="0" applyFont="0" applyFill="0" applyBorder="0" applyAlignment="0" applyProtection="0">
      <alignment vertical="center"/>
    </xf>
    <xf numFmtId="304" fontId="14" fillId="7" borderId="17" xfId="0" applyFont="0" applyFill="0" applyBorder="0" applyAlignment="0" applyProtection="0">
      <alignment vertical="center"/>
    </xf>
    <xf numFmtId="305" fontId="14" fillId="7" borderId="17" xfId="0" applyFont="0" applyFill="0" applyBorder="0" applyAlignment="0" applyProtection="0">
      <alignment vertical="center"/>
    </xf>
    <xf numFmtId="306" fontId="14" fillId="7" borderId="17" xfId="0" applyFont="0" applyFill="0" applyBorder="0" applyAlignment="0" applyProtection="0">
      <alignment vertical="center"/>
    </xf>
    <xf numFmtId="307" fontId="14" fillId="7" borderId="17" xfId="0" applyFont="0" applyFill="0" applyBorder="0" applyAlignment="0" applyProtection="0">
      <alignment vertical="center"/>
    </xf>
    <xf numFmtId="302" fontId="15" fillId="7" borderId="17" xfId="0" applyNumberFormat="0" applyFill="0" applyBorder="0" applyAlignment="0" applyProtection="0">
      <alignment vertical="center"/>
    </xf>
    <xf numFmtId="302" fontId="14" fillId="8" borderId="18" xfId="0" applyNumberFormat="0" applyFont="0" applyAlignment="0" applyProtection="0">
      <alignment vertical="center"/>
    </xf>
    <xf numFmtId="302" fontId="16" fillId="7" borderId="17" xfId="0" applyNumberFormat="0" applyFill="0" applyBorder="0" applyAlignment="0" applyProtection="0">
      <alignment vertical="center"/>
    </xf>
    <xf numFmtId="302" fontId="17" fillId="7" borderId="17" xfId="0" applyNumberFormat="0" applyFill="0" applyBorder="0" applyAlignment="0" applyProtection="0">
      <alignment vertical="center"/>
    </xf>
    <xf numFmtId="302" fontId="18" fillId="7" borderId="17" xfId="0" applyNumberFormat="0" applyFill="0" applyBorder="0" applyAlignment="0" applyProtection="0">
      <alignment vertical="center"/>
    </xf>
    <xf numFmtId="302" fontId="19" fillId="7" borderId="19" xfId="0" applyNumberFormat="0" applyFill="0" applyAlignment="0" applyProtection="0">
      <alignment vertical="center"/>
    </xf>
    <xf numFmtId="302" fontId="20" fillId="7" borderId="19" xfId="0" applyNumberFormat="0" applyFill="0" applyAlignment="0" applyProtection="0">
      <alignment vertical="center"/>
    </xf>
    <xf numFmtId="302" fontId="21" fillId="7" borderId="20" xfId="0" applyNumberFormat="0" applyFill="0" applyAlignment="0" applyProtection="0">
      <alignment vertical="center"/>
    </xf>
    <xf numFmtId="302" fontId="21" fillId="7" borderId="17" xfId="0" applyNumberFormat="0" applyFill="0" applyBorder="0" applyAlignment="0" applyProtection="0">
      <alignment vertical="center"/>
    </xf>
    <xf numFmtId="302" fontId="22" fillId="9" borderId="21" xfId="0" applyNumberFormat="0" applyAlignment="0" applyProtection="0">
      <alignment vertical="center"/>
    </xf>
    <xf numFmtId="302" fontId="23" fillId="10" borderId="22" xfId="0" applyNumberFormat="0" applyAlignment="0" applyProtection="0">
      <alignment vertical="center"/>
    </xf>
    <xf numFmtId="302" fontId="24" fillId="10" borderId="21" xfId="0" applyNumberFormat="0" applyAlignment="0" applyProtection="0">
      <alignment vertical="center"/>
    </xf>
    <xf numFmtId="302" fontId="25" fillId="11" borderId="23" xfId="0" applyNumberFormat="0" applyAlignment="0" applyProtection="0">
      <alignment vertical="center"/>
    </xf>
    <xf numFmtId="302" fontId="26" fillId="7" borderId="24" xfId="0" applyNumberFormat="0" applyFill="0" applyAlignment="0" applyProtection="0">
      <alignment vertical="center"/>
    </xf>
    <xf numFmtId="302" fontId="27" fillId="7" borderId="25" xfId="0" applyNumberFormat="0" applyFill="0" applyAlignment="0" applyProtection="0">
      <alignment vertical="center"/>
    </xf>
    <xf numFmtId="302" fontId="28" fillId="12" borderId="17" xfId="0" applyNumberFormat="0" applyBorder="0" applyAlignment="0" applyProtection="0">
      <alignment vertical="center"/>
    </xf>
    <xf numFmtId="302" fontId="29" fillId="13" borderId="17" xfId="0" applyNumberFormat="0" applyBorder="0" applyAlignment="0" applyProtection="0">
      <alignment vertical="center"/>
    </xf>
    <xf numFmtId="302" fontId="30" fillId="14" borderId="17" xfId="0" applyNumberFormat="0" applyBorder="0" applyAlignment="0" applyProtection="0">
      <alignment vertical="center"/>
    </xf>
    <xf numFmtId="302" fontId="31" fillId="15" borderId="17" xfId="0" applyNumberFormat="0" applyBorder="0" applyAlignment="0" applyProtection="0">
      <alignment vertical="center"/>
    </xf>
    <xf numFmtId="302" fontId="32" fillId="16" borderId="17" xfId="0" applyNumberFormat="0" applyBorder="0" applyAlignment="0" applyProtection="0">
      <alignment vertical="center"/>
    </xf>
    <xf numFmtId="302" fontId="32" fillId="17" borderId="17" xfId="0" applyNumberFormat="0" applyBorder="0" applyAlignment="0" applyProtection="0">
      <alignment vertical="center"/>
    </xf>
    <xf numFmtId="302" fontId="31" fillId="18" borderId="17" xfId="0" applyNumberFormat="0" applyBorder="0" applyAlignment="0" applyProtection="0">
      <alignment vertical="center"/>
    </xf>
    <xf numFmtId="302" fontId="31" fillId="19" borderId="17" xfId="0" applyNumberFormat="0" applyBorder="0" applyAlignment="0" applyProtection="0">
      <alignment vertical="center"/>
    </xf>
    <xf numFmtId="302" fontId="32" fillId="20" borderId="17" xfId="0" applyNumberFormat="0" applyBorder="0" applyAlignment="0" applyProtection="0">
      <alignment vertical="center"/>
    </xf>
    <xf numFmtId="302" fontId="32" fillId="21" borderId="17" xfId="0" applyNumberFormat="0" applyBorder="0" applyAlignment="0" applyProtection="0">
      <alignment vertical="center"/>
    </xf>
    <xf numFmtId="302" fontId="31" fillId="22" borderId="17" xfId="0" applyNumberFormat="0" applyBorder="0" applyAlignment="0" applyProtection="0">
      <alignment vertical="center"/>
    </xf>
    <xf numFmtId="302" fontId="31" fillId="23" borderId="17" xfId="0" applyNumberFormat="0" applyBorder="0" applyAlignment="0" applyProtection="0">
      <alignment vertical="center"/>
    </xf>
    <xf numFmtId="302" fontId="32" fillId="24" borderId="17" xfId="0" applyNumberFormat="0" applyBorder="0" applyAlignment="0" applyProtection="0">
      <alignment vertical="center"/>
    </xf>
    <xf numFmtId="302" fontId="32" fillId="25" borderId="17" xfId="0" applyNumberFormat="0" applyBorder="0" applyAlignment="0" applyProtection="0">
      <alignment vertical="center"/>
    </xf>
    <xf numFmtId="302" fontId="31" fillId="26" borderId="17" xfId="0" applyNumberFormat="0" applyBorder="0" applyAlignment="0" applyProtection="0">
      <alignment vertical="center"/>
    </xf>
    <xf numFmtId="302" fontId="31" fillId="27" borderId="17" xfId="0" applyNumberFormat="0" applyBorder="0" applyAlignment="0" applyProtection="0">
      <alignment vertical="center"/>
    </xf>
    <xf numFmtId="302" fontId="32" fillId="28" borderId="17" xfId="0" applyNumberFormat="0" applyBorder="0" applyAlignment="0" applyProtection="0">
      <alignment vertical="center"/>
    </xf>
    <xf numFmtId="302" fontId="32" fillId="29" borderId="17" xfId="0" applyNumberFormat="0" applyBorder="0" applyAlignment="0" applyProtection="0">
      <alignment vertical="center"/>
    </xf>
    <xf numFmtId="302" fontId="31" fillId="30" borderId="17" xfId="0" applyNumberFormat="0" applyBorder="0" applyAlignment="0" applyProtection="0">
      <alignment vertical="center"/>
    </xf>
    <xf numFmtId="302" fontId="31" fillId="31" borderId="17" xfId="0" applyNumberFormat="0" applyBorder="0" applyAlignment="0" applyProtection="0">
      <alignment vertical="center"/>
    </xf>
    <xf numFmtId="302" fontId="32" fillId="32" borderId="17" xfId="0" applyNumberFormat="0" applyBorder="0" applyAlignment="0" applyProtection="0">
      <alignment vertical="center"/>
    </xf>
    <xf numFmtId="302" fontId="32" fillId="33" borderId="17" xfId="0" applyNumberFormat="0" applyBorder="0" applyAlignment="0" applyProtection="0">
      <alignment vertical="center"/>
    </xf>
    <xf numFmtId="302" fontId="31" fillId="34" borderId="17" xfId="0" applyNumberFormat="0" applyBorder="0" applyAlignment="0" applyProtection="0">
      <alignment vertical="center"/>
    </xf>
    <xf numFmtId="302" fontId="31" fillId="35" borderId="17" xfId="0" applyNumberFormat="0" applyBorder="0" applyAlignment="0" applyProtection="0">
      <alignment vertical="center"/>
    </xf>
    <xf numFmtId="302" fontId="32" fillId="36" borderId="17" xfId="0" applyNumberFormat="0" applyBorder="0" applyAlignment="0" applyProtection="0">
      <alignment vertical="center"/>
    </xf>
    <xf numFmtId="302" fontId="32" fillId="37" borderId="17" xfId="0" applyNumberFormat="0" applyBorder="0" applyAlignment="0" applyProtection="0">
      <alignment vertical="center"/>
    </xf>
    <xf numFmtId="302" fontId="31" fillId="38" borderId="17" xf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0" borderId="17" xfId="0" applyFont="1" applyAlignment="1">
      <alignment horizontal="centerContinuous"/>
    </xf>
    <xf numFmtId="302" fontId="4" fillId="0" borderId="17" xfId="0" applyFont="1" applyAlignment="1">
      <alignment horizontal="centerContinuous"/>
    </xf>
    <xf numFmtId="302" fontId="5" fillId="0" borderId="17" xfId="0" applyFont="1" applyAlignment="1">
      <alignment horizontal="centerContinuous"/>
    </xf>
    <xf numFmtId="302" fontId="5" fillId="2" borderId="1" xfId="0" applyFont="1" applyFill="1" applyBorder="1" applyAlignment="1">
      <alignment horizontal="centerContinuous"/>
    </xf>
    <xf numFmtId="302" fontId="5" fillId="0" borderId="2" xfId="0" applyFont="1" applyBorder="1"/>
    <xf numFmtId="302" fontId="5" fillId="3" borderId="1" xfId="0" applyFont="1" applyFill="1" applyBorder="1" applyAlignment="1" applyProtection="1">
      <alignment horizontal="centerContinuous"/>
      <protection locked="0"/>
    </xf>
    <xf numFmtId="302" fontId="5" fillId="0" borderId="3" xfId="0" applyFont="1" applyBorder="1"/>
    <xf numFmtId="302" fontId="5" fillId="4" borderId="1" xfId="0" applyFont="1" applyFill="1" applyBorder="1" applyAlignment="1">
      <alignment horizontal="center"/>
    </xf>
    <xf numFmtId="302" fontId="6" fillId="3" borderId="1" xfId="0" applyFont="1" applyFill="1" applyBorder="1" applyAlignment="1" applyProtection="1">
      <alignment horizontal="centerContinuous"/>
      <protection locked="0"/>
    </xf>
    <xf numFmtId="302" fontId="7" fillId="3" borderId="1" xfId="0" applyFont="1" applyFill="1" applyBorder="1" applyAlignment="1" applyProtection="1">
      <alignment horizontal="centerContinuous"/>
      <protection locked="0"/>
    </xf>
    <xf numFmtId="302" fontId="5" fillId="2" borderId="1" xfId="0" applyFont="1" applyFill="1" applyBorder="1" applyAlignment="1">
      <alignment horizontal="center" wrapText="1"/>
    </xf>
    <xf numFmtId="302" fontId="5" fillId="2" borderId="1" xfId="0" applyFont="1" applyFill="1" applyBorder="1" applyAlignment="1">
      <alignment horizontal="centerContinuous" wrapText="1"/>
    </xf>
    <xf numFmtId="300" fontId="5" fillId="3" borderId="1" xfId="0" applyNumberFormat="1" applyFont="1" applyFill="1" applyBorder="1" applyAlignment="1" applyProtection="1">
      <alignment horizontal="centerContinuous"/>
      <protection locked="0"/>
    </xf>
    <xf numFmtId="49" fontId="5" fillId="3" borderId="1" xfId="0" applyNumberFormat="1" applyFont="1" applyFill="1" applyBorder="1" applyAlignment="1" applyProtection="1">
      <alignment horizontal="centerContinuous"/>
      <protection locked="0"/>
    </xf>
    <xf numFmtId="301" fontId="5" fillId="3" borderId="1" xfId="0" applyNumberFormat="1" applyFont="1" applyFill="1" applyBorder="1" applyAlignment="1" applyProtection="1">
      <alignment horizontal="centerContinuous"/>
      <protection locked="0"/>
    </xf>
    <xf numFmtId="302" fontId="5" fillId="2" borderId="1" xfId="0" applyFont="1" applyFill="1" applyBorder="1" applyAlignment="1">
      <alignment horizontal="center"/>
    </xf>
    <xf numFmtId="302" fontId="5" fillId="3" borderId="4" xfId="0" applyFont="1" applyFill="1" applyBorder="1" applyAlignment="1" applyProtection="1">
      <alignment horizontal="centerContinuous"/>
      <protection locked="0"/>
    </xf>
    <xf numFmtId="302" fontId="5" fillId="3" borderId="5" xfId="0" applyFont="1" applyFill="1" applyBorder="1" applyAlignment="1" applyProtection="1">
      <alignment horizontal="centerContinuous"/>
      <protection locked="0"/>
    </xf>
    <xf numFmtId="300" fontId="5" fillId="3" borderId="5" xfId="0" applyNumberFormat="1" applyFont="1" applyFill="1" applyBorder="1" applyAlignment="1" applyProtection="1">
      <alignment horizontal="centerContinuous"/>
      <protection locked="0"/>
    </xf>
    <xf numFmtId="300" fontId="5" fillId="3" borderId="6" xfId="0" applyNumberFormat="1" applyFont="1" applyFill="1" applyBorder="1" applyAlignment="1" applyProtection="1">
      <alignment horizontal="centerContinuous"/>
      <protection locked="0"/>
    </xf>
    <xf numFmtId="302" fontId="5" fillId="0" borderId="17" xfId="0" applyFont="1"/>
    <xf numFmtId="302" fontId="5" fillId="5" borderId="17" xfId="0" applyFont="1" applyFill="1" applyAlignment="1" applyProtection="1">
      <alignment horizontal="centerContinuous"/>
      <protection locked="0"/>
    </xf>
    <xf numFmtId="300" fontId="5" fillId="5" borderId="17" xfId="0" applyNumberFormat="1" applyFont="1" applyFill="1" applyAlignment="1" applyProtection="1">
      <alignment horizontal="centerContinuous"/>
      <protection locked="0"/>
    </xf>
    <xf numFmtId="302" fontId="8" fillId="6" borderId="4" xfId="0" applyFont="1" applyFill="1" applyBorder="1" applyAlignment="1">
      <alignment horizontal="center"/>
    </xf>
    <xf numFmtId="302" fontId="5" fillId="6" borderId="7" xfId="0" applyFont="1" applyFill="1" applyBorder="1" applyAlignment="1">
      <alignment horizontal="center"/>
    </xf>
    <xf numFmtId="302" fontId="5" fillId="6" borderId="8" xfId="0" applyFont="1" applyFill="1" applyBorder="1" applyAlignment="1">
      <alignment horizontal="center"/>
    </xf>
    <xf numFmtId="302" fontId="5" fillId="6" borderId="9" xfId="0" applyFont="1" applyFill="1" applyBorder="1" applyAlignment="1">
      <alignment horizontal="center"/>
    </xf>
    <xf numFmtId="302" fontId="5" fillId="4" borderId="9" xfId="0" applyFont="1" applyFill="1" applyBorder="1"/>
    <xf numFmtId="10" fontId="5" fillId="4" borderId="9" xfId="0" applyNumberFormat="1" applyFont="1" applyFill="1" applyBorder="1"/>
    <xf numFmtId="302" fontId="5" fillId="6" borderId="10" xfId="0" applyFont="1" applyFill="1" applyBorder="1" applyAlignment="1">
      <alignment horizontal="center"/>
    </xf>
    <xf numFmtId="302" fontId="5" fillId="4" borderId="10" xfId="0" applyFont="1" applyFill="1" applyBorder="1"/>
    <xf numFmtId="10" fontId="5" fillId="4" borderId="10" xfId="0" applyNumberFormat="1" applyFont="1" applyFill="1" applyBorder="1"/>
    <xf numFmtId="302" fontId="9" fillId="5" borderId="4" xfId="0" applyFont="1" applyFill="1" applyBorder="1" applyAlignment="1">
      <alignment horizontal="center"/>
    </xf>
    <xf numFmtId="302" fontId="9" fillId="5" borderId="7" xfId="0" applyFont="1" applyFill="1" applyBorder="1"/>
    <xf numFmtId="302" fontId="9" fillId="5" borderId="7" xfId="0" applyFont="1" applyFill="1" applyBorder="1" applyAlignment="1">
      <alignment horizontal="center"/>
    </xf>
    <xf numFmtId="10" fontId="9" fillId="5" borderId="8" xfId="0" applyNumberFormat="1" applyFont="1" applyFill="1" applyBorder="1"/>
    <xf numFmtId="302" fontId="8" fillId="6" borderId="11" xfId="0" applyFont="1" applyFill="1" applyBorder="1"/>
    <xf numFmtId="302" fontId="5" fillId="4" borderId="12" xfId="0" applyFont="1" applyFill="1" applyBorder="1" applyAlignment="1">
      <alignment horizontal="center"/>
    </xf>
    <xf numFmtId="302" fontId="5" fillId="4" borderId="13" xfId="0" applyFont="1" applyFill="1" applyBorder="1" applyAlignment="1">
      <alignment horizontal="center"/>
    </xf>
    <xf numFmtId="302" fontId="5" fillId="4" borderId="14" xfId="0" applyFont="1" applyFill="1" applyBorder="1" applyAlignment="1">
      <alignment horizontal="center"/>
    </xf>
    <xf numFmtId="302" fontId="10" fillId="6" borderId="9" xfId="0" applyFont="1" applyFill="1" applyBorder="1" applyAlignment="1">
      <alignment horizontal="center" wrapText="1"/>
    </xf>
    <xf numFmtId="302" fontId="11" fillId="6" borderId="9" xfId="0" applyFont="1" applyFill="1" applyBorder="1" applyAlignment="1">
      <alignment horizontal="center" wrapText="1"/>
    </xf>
    <xf numFmtId="302" fontId="5" fillId="0" borderId="17" xfId="0" applyFont="1" applyAlignment="1">
      <alignment wrapText="1"/>
    </xf>
    <xf numFmtId="302" fontId="4" fillId="3" borderId="9" xfId="0" applyFont="1" applyFill="1" applyBorder="1" applyAlignment="1" applyProtection="1">
      <alignment wrapText="1"/>
      <protection locked="0"/>
    </xf>
    <xf numFmtId="302" fontId="5" fillId="3" borderId="17" xfId="0" applyFont="1" applyFill="1"/>
    <xf numFmtId="302" fontId="10" fillId="2" borderId="1" xfId="0" applyFont="1" applyFill="1" applyBorder="1" applyAlignment="1">
      <alignment horizontal="centerContinuous"/>
    </xf>
    <xf numFmtId="302" fontId="12" fillId="0" borderId="2" xfId="0" applyBorder="1"/>
    <xf numFmtId="302" fontId="4" fillId="3" borderId="1" xfId="0" applyFont="1" applyFill="1" applyBorder="1" applyAlignment="1">
      <alignment horizontal="center" wrapText="1"/>
    </xf>
    <xf numFmtId="302" fontId="4" fillId="3" borderId="1" xfId="0" applyFont="1" applyFill="1" applyBorder="1" applyAlignment="1">
      <alignment wrapText="1"/>
    </xf>
    <xf numFmtId="302" fontId="4" fillId="3" borderId="15" xfId="0" applyFont="1" applyFill="1" applyBorder="1" applyAlignment="1">
      <alignment horizontal="center" wrapText="1"/>
    </xf>
    <xf numFmtId="302" fontId="4" fillId="3" borderId="16" xfId="0" applyFont="1" applyFill="1" applyBorder="1" applyAlignment="1">
      <alignment wrapText="1"/>
    </xf>
    <xf numFmtId="302" fontId="5" fillId="7" borderId="17" xfId="0" applyNumberFormat="1" applyFont="1" applyFill="1" applyBorder="1"/>
    <xf numFmtId="302" fontId="5" fillId="3" borderId="9" xfId="0" applyNumberFormat="1" applyFont="1" applyFill="1" applyBorder="1" applyProtection="1">
      <protection locked="0"/>
    </xf>
    <xf numFmtId="302" fontId="8" fillId="7" borderId="17" xfId="0" applyNumberFormat="1" applyFon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charts/chart1.xml><?xml version="1.0" encoding="utf-8"?>
<c:chartSpace xmlns:a="http://schemas.openxmlformats.org/drawingml/2006/main" xmlns:c="http://schemas.openxmlformats.org/drawingml/2006/chart" xmlns:c14="http://schemas.microsoft.com/office/drawing/2007/8/2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9"/>
          <c:y val="0.038760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hPercent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1"/>
          <c:y val="0.329469"/>
          <c:w val="0.653667"/>
          <c:h val="0.472885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'Information文档信息'!$B$38:$B$41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'Information文档信息'!$E$38:$E$41</c:f>
              <c:numCache>
                <c:formatCode>0.00%</c:formatCode>
                <c:ptCount val="4"/>
                <c:pt idx="0">
                  <c:v>0.866666666666667</c:v>
                </c:pt>
                <c:pt idx="1">
                  <c:v>0</c:v>
                </c:pt>
                <c:pt idx="2">
                  <c:v>0.133333333333333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3"/>
          <c:y val="0.387611"/>
          <c:w val="0.979199"/>
          <c:h val="0.7480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/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l="0.7" r="0.7" t="0.75" b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Relationship Id="rId1" Type="http://schemas.openxmlformats.org/officeDocument/2006/relationships/image" Target="media/image1.pn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1" name="图表 1" hidden="1"/>
        <xdr:cNvGraphicFramePr/>
      </xdr:nvGraphicFramePr>
      <xdr:xfrm>
        <a:off x="3740150" y="6811010"/>
        <a:ext cx="3510280" cy="2422525"/>
      </xdr:xfrm>
      <a:graphic>
        <a:graphicData uri="http://schemas.openxmlformats.org/drawingml/2006/chart">
          <c:chart r:id="rId0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Picture 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Z43"/>
  <sheetViews>
    <sheetView showGridLines="0" showOutlineSymbols="0" topLeftCell="A7" zoomScale="87" zoomScaleNormal="87" workbookViewId="0"/>
  </sheetViews>
  <sheetFormatPr defaultColWidth="11.6308" defaultRowHeight="15.5"/>
  <cols>
    <col min="1" max="1" width="1.63077" style="55" customWidth="1"/>
    <col min="2" max="13" width="10.6308" style="55" customWidth="1"/>
    <col min="14" max="15" width="7.63077" style="55" customWidth="1"/>
    <col min="16" max="26" width="11.6308" style="55"/>
  </cols>
  <sheetData>
    <row r="1" spans="1:26" ht="9.9" customHeight="1"/>
    <row r="2" spans="2:11" ht="23">
      <c r="B2" s="4" t="s">
        <v>153</v>
      </c>
      <c r="C2" s="4" t="s"/>
      <c r="D2" s="5" t="s"/>
      <c r="E2" s="5" t="s"/>
      <c r="F2" s="6" t="s"/>
      <c r="G2" s="6" t="s"/>
      <c r="H2" s="6" t="s"/>
      <c r="I2" s="6" t="s"/>
      <c r="J2" s="6" t="s"/>
      <c r="K2" s="6" t="s"/>
    </row>
    <row r="3" spans="2:11">
      <c r="B3" s="5" t="s"/>
      <c r="C3" s="5" t="s"/>
      <c r="D3" s="5" t="s"/>
      <c r="E3" s="6" t="s"/>
      <c r="F3" s="6" t="s"/>
      <c r="G3" s="6" t="s"/>
      <c r="H3" s="6" t="s"/>
      <c r="I3" s="6" t="s"/>
      <c r="J3" s="6" t="s"/>
      <c r="K3" s="6" t="s"/>
    </row>
    <row r="4" spans="2:11">
      <c r="B4" s="5" t="s"/>
      <c r="C4" s="5" t="s"/>
      <c r="D4" s="5" t="s"/>
      <c r="E4" s="5" t="s"/>
      <c r="F4" s="6" t="s"/>
      <c r="G4" s="6" t="s"/>
      <c r="H4" s="6" t="s"/>
      <c r="I4" s="6" t="s"/>
      <c r="J4" s="6" t="s"/>
      <c r="K4" s="6" t="s"/>
    </row>
    <row r="5" spans="1:26" ht="3.9" customHeight="1"/>
    <row r="6" spans="2:12">
      <c r="B6" s="7" t="s">
        <v>154</v>
      </c>
      <c r="C6" s="7" t="s"/>
      <c r="D6" s="7" t="s"/>
      <c r="E6" s="7" t="s"/>
      <c r="F6" s="7" t="s"/>
      <c r="G6" s="7" t="s"/>
      <c r="H6" s="7" t="s"/>
      <c r="I6" s="7" t="s"/>
      <c r="J6" s="7" t="s"/>
      <c r="K6" s="7" t="s"/>
      <c r="L6" s="8" t="s"/>
    </row>
    <row r="7" spans="2:12">
      <c r="B7" s="7" t="s">
        <v>155</v>
      </c>
      <c r="C7" s="7" t="s"/>
      <c r="D7" s="7" t="s"/>
      <c r="E7" s="9" t="s">
        <v>1</v>
      </c>
      <c r="F7" s="9" t="s"/>
      <c r="G7" s="7" t="s">
        <v>156</v>
      </c>
      <c r="H7" s="7" t="s"/>
      <c r="I7" s="7" t="s"/>
      <c r="J7" s="9" t="s">
        <v>2</v>
      </c>
      <c r="K7" s="9" t="s"/>
      <c r="L7" s="8" t="s"/>
    </row>
    <row r="8" spans="2:12">
      <c r="B8" s="7" t="s">
        <v>157</v>
      </c>
      <c r="C8" s="7" t="s"/>
      <c r="D8" s="7" t="s"/>
      <c r="E8" s="9" t="s">
        <v>3</v>
      </c>
      <c r="F8" s="9" t="s"/>
      <c r="G8" s="7" t="s">
        <v>158</v>
      </c>
      <c r="H8" s="7" t="s"/>
      <c r="I8" s="7" t="s"/>
      <c r="J8" s="9" t="s">
        <v>4</v>
      </c>
      <c r="K8" s="9" t="s"/>
      <c r="L8" s="8" t="s"/>
    </row>
    <row r="9" spans="2:12">
      <c r="B9" s="7" t="s">
        <v>159</v>
      </c>
      <c r="C9" s="7" t="s"/>
      <c r="D9" s="7" t="s"/>
      <c r="E9" s="9" t="s">
        <v>5</v>
      </c>
      <c r="F9" s="9" t="s"/>
      <c r="G9" s="7" t="s">
        <v>160</v>
      </c>
      <c r="H9" s="7" t="s"/>
      <c r="I9" s="7" t="s"/>
      <c r="J9" s="9" t="s">
        <v>6</v>
      </c>
      <c r="K9" s="9" t="s"/>
      <c r="L9" s="8" t="s"/>
    </row>
    <row r="10" spans="2:12">
      <c r="B10" s="7" t="s">
        <v>161</v>
      </c>
      <c r="C10" s="7" t="s"/>
      <c r="D10" s="7" t="s"/>
      <c r="E10" s="9" t="s">
        <v>7</v>
      </c>
      <c r="F10" s="9" t="s"/>
      <c r="G10" s="7" t="s">
        <v>160</v>
      </c>
      <c r="H10" s="7" t="s"/>
      <c r="I10" s="7" t="s"/>
      <c r="J10" s="9" t="s">
        <v>6</v>
      </c>
      <c r="K10" s="9" t="s"/>
      <c r="L10" s="8" t="s"/>
    </row>
    <row r="11" spans="2:12">
      <c r="B11" s="7" t="s">
        <v>162</v>
      </c>
      <c r="C11" s="7" t="s"/>
      <c r="D11" s="7" t="s"/>
      <c r="E11" s="9" t="s">
        <v>8</v>
      </c>
      <c r="F11" s="9" t="s"/>
      <c r="G11" s="7" t="s">
        <v>160</v>
      </c>
      <c r="H11" s="7" t="s"/>
      <c r="I11" s="7" t="s"/>
      <c r="J11" s="9" t="s">
        <v>6</v>
      </c>
      <c r="K11" s="9" t="s"/>
      <c r="L11" s="8" t="s"/>
    </row>
    <row r="12" spans="2:11" ht="3.9" customHeight="1"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</row>
    <row r="13" spans="2:6">
      <c r="B13" s="7" t="s">
        <v>163</v>
      </c>
      <c r="C13" s="7" t="s"/>
      <c r="D13" s="7" t="s"/>
      <c r="E13" s="11">
        <f>=COUNTA('Test Cases测试用例'!$A$2:$A$400)</f>
        <v>15</v>
      </c>
      <c r="F13" s="8" t="s"/>
    </row>
    <row r="14" spans="2:5" ht="3.9" customHeight="1">
      <c r="B14" s="10" t="s"/>
      <c r="C14" s="10" t="s"/>
      <c r="D14" s="10" t="s"/>
      <c r="E14" s="10" t="s"/>
    </row>
    <row r="15" spans="2:12">
      <c r="B15" s="7" t="s">
        <v>164</v>
      </c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8" t="s"/>
    </row>
    <row r="16" spans="2:12" ht="18.9" customHeight="1">
      <c r="B16" s="12" t="s">
        <v>9</v>
      </c>
      <c r="C16" s="13" t="s"/>
      <c r="D16" s="9" t="s"/>
      <c r="E16" s="9" t="s"/>
      <c r="F16" s="9" t="s"/>
      <c r="G16" s="9" t="s"/>
      <c r="H16" s="9" t="s"/>
      <c r="I16" s="9" t="s"/>
      <c r="J16" s="9" t="s"/>
      <c r="K16" s="9" t="s"/>
      <c r="L16" s="8" t="s"/>
    </row>
    <row r="17" spans="2:11" ht="3.9" customHeight="1"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</row>
    <row r="18" spans="2:12">
      <c r="B18" s="7" t="s">
        <v>165</v>
      </c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8" t="s"/>
    </row>
    <row r="19" spans="2:12" ht="46.5">
      <c r="B19" s="14" t="s">
        <v>166</v>
      </c>
      <c r="C19" s="14" t="s">
        <v>167</v>
      </c>
      <c r="D19" s="14" t="s">
        <v>168</v>
      </c>
      <c r="E19" s="15" t="s">
        <v>169</v>
      </c>
      <c r="F19" s="15" t="s"/>
      <c r="G19" s="15" t="s"/>
      <c r="H19" s="15" t="s"/>
      <c r="I19" s="15" t="s"/>
      <c r="J19" s="15" t="s"/>
      <c r="K19" s="14" t="s">
        <v>170</v>
      </c>
      <c r="L19" s="8" t="s"/>
    </row>
    <row r="20" spans="2:12">
      <c r="B20" s="16" t="s">
        <v>10</v>
      </c>
      <c r="C20" s="17" t="s">
        <v>11</v>
      </c>
      <c r="D20" s="9" t="s">
        <v>12</v>
      </c>
      <c r="E20" s="9" t="s">
        <v>13</v>
      </c>
      <c r="F20" s="9" t="s"/>
      <c r="G20" s="9" t="s"/>
      <c r="H20" s="9" t="s"/>
      <c r="I20" s="9" t="s"/>
      <c r="J20" s="9" t="s"/>
      <c r="K20" s="9" t="s">
        <v>14</v>
      </c>
      <c r="L20" s="8" t="s"/>
    </row>
    <row r="21" spans="2:12">
      <c r="B21" s="16" t="s">
        <v>10</v>
      </c>
      <c r="C21" s="17" t="s">
        <v>15</v>
      </c>
      <c r="D21" s="9" t="s">
        <v>16</v>
      </c>
      <c r="E21" s="9" t="s">
        <v>17</v>
      </c>
      <c r="F21" s="9" t="s"/>
      <c r="G21" s="9" t="s"/>
      <c r="H21" s="9" t="s"/>
      <c r="I21" s="9" t="s"/>
      <c r="J21" s="9" t="s"/>
      <c r="K21" s="9" t="s">
        <v>14</v>
      </c>
      <c r="L21" s="8" t="s"/>
    </row>
    <row r="22" spans="2:12">
      <c r="B22" s="16" t="s"/>
      <c r="C22" s="17" t="s"/>
      <c r="D22" s="9" t="s">
        <v>18</v>
      </c>
      <c r="E22" s="9" t="s">
        <v>171</v>
      </c>
      <c r="F22" s="9" t="s"/>
      <c r="G22" s="9" t="s"/>
      <c r="H22" s="9" t="s"/>
      <c r="I22" s="9" t="s"/>
      <c r="J22" s="9" t="s"/>
      <c r="K22" s="9" t="s">
        <v>172</v>
      </c>
      <c r="L22" s="8" t="s"/>
    </row>
    <row r="23" spans="2:12">
      <c r="B23" s="16" t="s">
        <v>19</v>
      </c>
      <c r="C23" s="17">
        <v>1.02</v>
      </c>
      <c r="D23" s="9" t="s">
        <v>18</v>
      </c>
      <c r="E23" s="9" t="s">
        <v>171</v>
      </c>
      <c r="F23" s="9" t="s"/>
      <c r="G23" s="9" t="s"/>
      <c r="H23" s="9" t="s"/>
      <c r="I23" s="9" t="s"/>
      <c r="J23" s="9" t="s"/>
      <c r="K23" s="9" t="s">
        <v>172</v>
      </c>
      <c r="L23" s="8" t="s"/>
    </row>
    <row r="24" spans="2:12">
      <c r="B24" s="16" t="s">
        <v>20</v>
      </c>
      <c r="C24" s="17" t="s">
        <v>20</v>
      </c>
      <c r="D24" s="18" t="s">
        <v>20</v>
      </c>
      <c r="E24" s="9" t="s">
        <v>20</v>
      </c>
      <c r="F24" s="9" t="s"/>
      <c r="G24" s="9" t="s"/>
      <c r="H24" s="9" t="s"/>
      <c r="I24" s="9" t="s"/>
      <c r="J24" s="9" t="s"/>
      <c r="K24" s="9" t="s">
        <v>172</v>
      </c>
      <c r="L24" s="8" t="s"/>
    </row>
    <row r="25" spans="2:12">
      <c r="B25" s="16" t="s">
        <v>19</v>
      </c>
      <c r="C25" s="17">
        <v>2</v>
      </c>
      <c r="D25" s="9" t="s">
        <v>18</v>
      </c>
      <c r="E25" s="9" t="s">
        <v>171</v>
      </c>
      <c r="F25" s="9" t="s"/>
      <c r="G25" s="9" t="s"/>
      <c r="H25" s="9" t="s"/>
      <c r="I25" s="9" t="s"/>
      <c r="J25" s="9" t="s"/>
      <c r="K25" s="9" t="s">
        <v>20</v>
      </c>
      <c r="L25" s="8" t="s"/>
    </row>
    <row r="26" spans="2:11" ht="3.9" customHeight="1">
      <c r="B26" s="10" t="s"/>
      <c r="C26" s="10" t="s"/>
      <c r="D26" s="10" t="s"/>
      <c r="E26" s="10" t="s"/>
      <c r="F26" s="10" t="s"/>
      <c r="G26" s="10" t="s"/>
      <c r="H26" s="10" t="s"/>
      <c r="I26" s="10" t="s"/>
      <c r="J26" s="10" t="s"/>
      <c r="K26" s="10" t="s"/>
    </row>
    <row r="27" spans="2:12">
      <c r="B27" s="7" t="s">
        <v>173</v>
      </c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8" t="s"/>
    </row>
    <row r="28" spans="2:12">
      <c r="B28" s="19" t="s">
        <v>21</v>
      </c>
      <c r="C28" s="7" t="s">
        <v>174</v>
      </c>
      <c r="D28" s="7" t="s"/>
      <c r="E28" s="7" t="s"/>
      <c r="F28" s="7" t="s"/>
      <c r="G28" s="7" t="s"/>
      <c r="H28" s="7" t="s"/>
      <c r="I28" s="7" t="s"/>
      <c r="J28" s="7" t="s">
        <v>175</v>
      </c>
      <c r="K28" s="7" t="s"/>
      <c r="L28" s="8" t="s"/>
    </row>
    <row r="29" spans="2:12">
      <c r="B29" s="9">
        <v>1</v>
      </c>
      <c r="C29" s="9" t="s">
        <v>22</v>
      </c>
      <c r="D29" s="9" t="s"/>
      <c r="E29" s="9" t="s"/>
      <c r="F29" s="9" t="s"/>
      <c r="G29" s="9" t="s"/>
      <c r="H29" s="9" t="s"/>
      <c r="I29" s="9" t="s"/>
      <c r="J29" s="16" t="s">
        <v>19</v>
      </c>
      <c r="K29" s="16" t="s"/>
      <c r="L29" s="8" t="s"/>
    </row>
    <row r="30" spans="2:12">
      <c r="B30" s="9">
        <v>2</v>
      </c>
      <c r="C30" s="9" t="s">
        <v>23</v>
      </c>
      <c r="D30" s="9" t="s"/>
      <c r="E30" s="9" t="s"/>
      <c r="F30" s="9" t="s"/>
      <c r="G30" s="9" t="s"/>
      <c r="H30" s="9" t="s"/>
      <c r="I30" s="9" t="s"/>
      <c r="J30" s="16" t="s">
        <v>19</v>
      </c>
      <c r="K30" s="16" t="s"/>
      <c r="L30" s="8" t="s"/>
    </row>
    <row r="31" spans="2:12">
      <c r="B31" s="9">
        <v>3</v>
      </c>
      <c r="C31" s="9" t="s">
        <v>24</v>
      </c>
      <c r="D31" s="9" t="s"/>
      <c r="E31" s="9" t="s"/>
      <c r="F31" s="9" t="s"/>
      <c r="G31" s="9" t="s"/>
      <c r="H31" s="9" t="s"/>
      <c r="I31" s="9" t="s"/>
      <c r="J31" s="16" t="s">
        <v>19</v>
      </c>
      <c r="K31" s="16" t="s"/>
      <c r="L31" s="8" t="s"/>
    </row>
    <row r="32" spans="2:12">
      <c r="B32" s="9">
        <v>4</v>
      </c>
      <c r="C32" s="9" t="s">
        <v>25</v>
      </c>
      <c r="D32" s="9" t="s"/>
      <c r="E32" s="9" t="s"/>
      <c r="F32" s="9" t="s"/>
      <c r="G32" s="9" t="s"/>
      <c r="H32" s="9" t="s"/>
      <c r="I32" s="9" t="s"/>
      <c r="J32" s="16" t="s">
        <v>19</v>
      </c>
      <c r="K32" s="16" t="s"/>
      <c r="L32" s="8" t="s"/>
    </row>
    <row r="33" spans="2:12">
      <c r="B33" s="20">
        <v>5</v>
      </c>
      <c r="C33" s="21" t="s">
        <v>26</v>
      </c>
      <c r="D33" s="21" t="s"/>
      <c r="E33" s="21" t="s"/>
      <c r="F33" s="21" t="s"/>
      <c r="G33" s="21" t="s"/>
      <c r="H33" s="21" t="s"/>
      <c r="I33" s="21" t="s"/>
      <c r="J33" s="22" t="s">
        <v>19</v>
      </c>
      <c r="K33" s="23" t="s"/>
      <c r="L33" s="24" t="s"/>
    </row>
    <row r="34" spans="2:12">
      <c r="B34" s="25" t="s"/>
      <c r="C34" s="25" t="s"/>
      <c r="D34" s="25" t="s"/>
      <c r="E34" s="25" t="s"/>
      <c r="F34" s="25" t="s"/>
      <c r="G34" s="25" t="s"/>
      <c r="H34" s="25" t="s"/>
      <c r="I34" s="25" t="s"/>
      <c r="J34" s="26" t="s"/>
      <c r="K34" s="26" t="s"/>
      <c r="L34" s="24" t="s"/>
    </row>
    <row r="35" spans="2:11">
      <c r="B35" s="24" t="s"/>
      <c r="C35" s="24" t="s"/>
      <c r="D35" s="24" t="s"/>
      <c r="E35" s="24" t="s"/>
      <c r="F35" s="24" t="s"/>
      <c r="G35" s="24" t="s"/>
      <c r="H35" s="24" t="s"/>
      <c r="I35" s="24" t="s"/>
      <c r="J35" s="24" t="s"/>
      <c r="K35" s="24" t="s"/>
    </row>
    <row r="37" spans="2:5" ht="15" customHeight="1">
      <c r="B37" s="27" t="s">
        <v>27</v>
      </c>
      <c r="C37" s="28" t="s"/>
      <c r="D37" s="28" t="s"/>
      <c r="E37" s="29" t="s"/>
    </row>
    <row r="38" spans="2:5">
      <c r="B38" s="30" t="s">
        <v>176</v>
      </c>
      <c r="C38" s="31">
        <f t="array" ref="C38">=IF($E$13=0,0,COUNTIF('Test Cases测试用例'!$L:$L,"=OK"))</f>
        <v>13</v>
      </c>
      <c r="D38" s="30" t="s">
        <v>177</v>
      </c>
      <c r="E38" s="32">
        <f>=IF(E13=0,0,C38/E13)</f>
        <v>0.866666666666667</v>
      </c>
    </row>
    <row r="39" spans="2:5">
      <c r="B39" s="30" t="s">
        <v>178</v>
      </c>
      <c r="C39" s="31">
        <f t="array" ref="C39">=IF($E$13=0,0,COUNTIF('Test Cases测试用例'!$L:$L,"=POK"))</f>
        <v>0</v>
      </c>
      <c r="D39" s="30" t="s">
        <v>179</v>
      </c>
      <c r="E39" s="32">
        <f>=IF(E13=0,0,C39/E13)</f>
        <v>0</v>
      </c>
    </row>
    <row r="40" spans="2:5">
      <c r="B40" s="30" t="s">
        <v>180</v>
      </c>
      <c r="C40" s="31">
        <f t="array" ref="C40">=IF($E$13=0,0,COUNTIF('Test Cases测试用例'!$L:$L,"=NG"))</f>
        <v>2</v>
      </c>
      <c r="D40" s="30" t="s">
        <v>181</v>
      </c>
      <c r="E40" s="32">
        <f>=IF(E13=0,0,C40/E13)</f>
        <v>0.133333333333333</v>
      </c>
    </row>
    <row r="41" spans="2:5">
      <c r="B41" s="33" t="s">
        <v>182</v>
      </c>
      <c r="C41" s="34">
        <f t="array" ref="C41">=IF($E$13=0,0,COUNTIF('Test Cases测试用例'!$L:$L,"=NT"))</f>
        <v>0</v>
      </c>
      <c r="D41" s="33" t="s">
        <v>183</v>
      </c>
      <c r="E41" s="35">
        <f>=IF(E13=0,0,C41/E13)</f>
        <v>0</v>
      </c>
    </row>
    <row r="42" spans="2:5" ht="3" customHeight="1">
      <c r="B42" s="36" t="s"/>
      <c r="C42" s="37" t="s"/>
      <c r="D42" s="38" t="s"/>
      <c r="E42" s="39" t="s"/>
    </row>
    <row r="43" spans="2:5">
      <c r="B43" s="40" t="s">
        <v>28</v>
      </c>
      <c r="C43" s="41">
        <f>=E13</f>
        <v>15</v>
      </c>
      <c r="D43" s="42" t="s"/>
      <c r="E43" s="43" t="s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0"/>
</worksheet>
</file>

<file path=xl/worksheets/sheet2.xml><?xml version="1.0" encoding="utf-8"?>
<worksheet xmlns="http://schemas.openxmlformats.org/spreadsheetml/2006/main">
  <sheetPr codeName="Sheet2">
    <outlinePr summaryBelow="0" summaryRight="0"/>
  </sheetPr>
  <dimension ref="Z200"/>
  <sheetViews>
    <sheetView showGridLines="0" tabSelected="1" topLeftCell="A8" zoomScale="87" zoomScaleNormal="87" workbookViewId="0"/>
  </sheetViews>
  <sheetFormatPr defaultColWidth="11.6308" defaultRowHeight="15.5"/>
  <cols>
    <col min="1" max="1" width="15.3615" style="56" customWidth="1"/>
    <col min="2" max="2" width="30.6692" style="56" customWidth="1"/>
    <col min="3" max="3" width="31.6692" style="56" customWidth="1"/>
    <col min="4" max="4" width="21" style="56" customWidth="1"/>
    <col min="5" max="5" width="13.9077" style="56" hidden="1" customWidth="1"/>
    <col min="6" max="6" width="15.6692" style="56" hidden="1" customWidth="1"/>
    <col min="7" max="7" width="43.6692" style="56" customWidth="1"/>
    <col min="8" max="8" width="39.6692" style="56" customWidth="1"/>
    <col min="9" max="9" width="43.6692" style="56" customWidth="1"/>
    <col min="10" max="10" width="34.6692" style="56" customWidth="1"/>
    <col min="11" max="11" width="47.6692" style="56" customWidth="1"/>
    <col min="12" max="12" width="11" style="56" customWidth="1"/>
    <col min="13" max="13" width="26.6692" style="56" customWidth="1"/>
    <col min="14" max="14" width="3.45385" style="55" hidden="1" customWidth="1"/>
    <col min="15" max="26" width="11.6308" style="55"/>
  </cols>
  <sheetData>
    <row r="1" spans="1:26" ht="30">
      <c r="A1" s="44" t="s">
        <v>184</v>
      </c>
      <c r="B1" s="44" t="s">
        <v>185</v>
      </c>
      <c r="C1" s="44" t="s">
        <v>186</v>
      </c>
      <c r="D1" s="44" t="s">
        <v>187</v>
      </c>
      <c r="E1" s="45" t="s">
        <v>29</v>
      </c>
      <c r="F1" s="45" t="s">
        <v>30</v>
      </c>
      <c r="G1" s="44" t="s">
        <v>188</v>
      </c>
      <c r="H1" s="44" t="s">
        <v>189</v>
      </c>
      <c r="I1" s="44" t="s">
        <v>190</v>
      </c>
      <c r="J1" s="44" t="s">
        <v>191</v>
      </c>
      <c r="K1" s="44" t="s">
        <v>192</v>
      </c>
      <c r="L1" s="44" t="s">
        <v>193</v>
      </c>
      <c r="M1" s="44" t="s">
        <v>194</v>
      </c>
      <c r="N1" s="46" t="s"/>
      <c r="O1" s="46" t="s"/>
      <c r="P1" s="46" t="s"/>
      <c r="Q1" s="46" t="s"/>
      <c r="R1" s="46" t="s"/>
      <c r="S1" s="46" t="s"/>
      <c r="T1" s="46" t="s"/>
      <c r="U1" s="46" t="s"/>
      <c r="V1" s="46" t="s"/>
      <c r="W1" s="46" t="s"/>
      <c r="X1" s="46" t="s"/>
      <c r="Y1" s="46" t="s"/>
      <c r="Z1" s="46" t="s"/>
    </row>
    <row r="2" spans="1:14" ht="83.25" customHeight="1">
      <c r="A2" s="47" t="s">
        <v>31</v>
      </c>
      <c r="B2" s="47" t="s">
        <v>149</v>
      </c>
      <c r="C2" s="47" t="s">
        <v>33</v>
      </c>
      <c r="D2" s="47" t="s">
        <v>34</v>
      </c>
      <c r="E2" s="47" t="s">
        <v>35</v>
      </c>
      <c r="F2" s="47" t="s">
        <v>36</v>
      </c>
      <c r="G2" s="47" t="s">
        <v>37</v>
      </c>
      <c r="H2" s="47" t="s">
        <v>38</v>
      </c>
      <c r="I2" s="47" t="s">
        <v>39</v>
      </c>
      <c r="J2" s="47" t="s">
        <v>40</v>
      </c>
      <c r="K2" s="47" t="s">
        <v>41</v>
      </c>
      <c r="L2" s="47" t="s">
        <v>42</v>
      </c>
      <c r="M2" s="47" t="s">
        <v>43</v>
      </c>
      <c r="N2" s="24" t="s"/>
    </row>
    <row r="3" spans="1:14" ht="49.5" customHeight="1">
      <c r="A3" s="47" t="s">
        <v>44</v>
      </c>
      <c r="B3" s="47" t="s">
        <v>149</v>
      </c>
      <c r="C3" s="47" t="s">
        <v>45</v>
      </c>
      <c r="D3" s="47" t="s">
        <v>46</v>
      </c>
      <c r="E3" s="47" t="s">
        <v>35</v>
      </c>
      <c r="F3" s="47" t="s">
        <v>36</v>
      </c>
      <c r="G3" s="47" t="s">
        <v>37</v>
      </c>
      <c r="H3" s="47" t="s">
        <v>47</v>
      </c>
      <c r="I3" s="47" t="s">
        <v>48</v>
      </c>
      <c r="J3" s="47" t="s">
        <v>49</v>
      </c>
      <c r="K3" s="47" t="s">
        <v>50</v>
      </c>
      <c r="L3" s="47" t="s">
        <v>42</v>
      </c>
      <c r="M3" s="47" t="s">
        <v>51</v>
      </c>
      <c r="N3" s="24" t="s"/>
    </row>
    <row r="4" spans="1:14" ht="49.5" customHeight="1">
      <c r="A4" s="47" t="s">
        <v>53</v>
      </c>
      <c r="B4" s="47" t="s">
        <v>149</v>
      </c>
      <c r="C4" s="47" t="s">
        <v>54</v>
      </c>
      <c r="D4" s="48" t="s">
        <v>46</v>
      </c>
      <c r="E4" s="47" t="s">
        <v>35</v>
      </c>
      <c r="F4" s="47" t="s">
        <v>36</v>
      </c>
      <c r="G4" s="47" t="s">
        <v>37</v>
      </c>
      <c r="H4" s="47" t="s">
        <v>55</v>
      </c>
      <c r="I4" s="47" t="s">
        <v>56</v>
      </c>
      <c r="J4" s="47" t="s">
        <v>57</v>
      </c>
      <c r="K4" s="47" t="s">
        <v>58</v>
      </c>
      <c r="L4" s="47" t="s">
        <v>42</v>
      </c>
      <c r="M4" s="47" t="s">
        <v>51</v>
      </c>
      <c r="N4" s="24" t="s"/>
    </row>
    <row r="5" spans="1:14" ht="49.5" customHeight="1">
      <c r="A5" s="47" t="s">
        <v>60</v>
      </c>
      <c r="B5" s="47" t="s">
        <v>149</v>
      </c>
      <c r="C5" s="47" t="s">
        <v>61</v>
      </c>
      <c r="D5" s="47" t="s">
        <v>34</v>
      </c>
      <c r="E5" s="47" t="s">
        <v>35</v>
      </c>
      <c r="F5" s="47" t="s">
        <v>36</v>
      </c>
      <c r="G5" s="47" t="s">
        <v>37</v>
      </c>
      <c r="H5" s="47" t="s">
        <v>62</v>
      </c>
      <c r="I5" s="47" t="s">
        <v>63</v>
      </c>
      <c r="J5" s="47" t="s">
        <v>64</v>
      </c>
      <c r="K5" s="47" t="s">
        <v>65</v>
      </c>
      <c r="L5" s="47" t="s">
        <v>42</v>
      </c>
      <c r="M5" s="47" t="s">
        <v>66</v>
      </c>
      <c r="N5" s="24" t="s"/>
    </row>
    <row r="6" spans="1:14" ht="49.5" customHeight="1">
      <c r="A6" s="47" t="s">
        <v>68</v>
      </c>
      <c r="B6" s="47" t="s">
        <v>149</v>
      </c>
      <c r="C6" s="47" t="s">
        <v>69</v>
      </c>
      <c r="D6" s="47" t="s">
        <v>34</v>
      </c>
      <c r="E6" s="47" t="s">
        <v>35</v>
      </c>
      <c r="F6" s="47" t="s">
        <v>36</v>
      </c>
      <c r="G6" s="47" t="s">
        <v>37</v>
      </c>
      <c r="H6" s="47" t="s">
        <v>70</v>
      </c>
      <c r="I6" s="47" t="s">
        <v>71</v>
      </c>
      <c r="J6" s="47" t="s">
        <v>72</v>
      </c>
      <c r="K6" s="47" t="s">
        <v>73</v>
      </c>
      <c r="L6" s="47" t="s">
        <v>42</v>
      </c>
      <c r="M6" s="47" t="s">
        <v>74</v>
      </c>
      <c r="N6" s="24" t="s"/>
    </row>
    <row r="7" spans="1:14" ht="49.5" customHeight="1">
      <c r="A7" s="47" t="s">
        <v>75</v>
      </c>
      <c r="B7" s="47" t="s">
        <v>149</v>
      </c>
      <c r="C7" s="47" t="s">
        <v>76</v>
      </c>
      <c r="D7" s="47" t="s">
        <v>46</v>
      </c>
      <c r="E7" s="47" t="s">
        <v>35</v>
      </c>
      <c r="F7" s="47" t="s">
        <v>36</v>
      </c>
      <c r="G7" s="47" t="s">
        <v>37</v>
      </c>
      <c r="H7" s="47" t="s">
        <v>77</v>
      </c>
      <c r="I7" s="47" t="s">
        <v>78</v>
      </c>
      <c r="J7" s="47" t="s">
        <v>79</v>
      </c>
      <c r="K7" s="47" t="s">
        <v>80</v>
      </c>
      <c r="L7" s="47" t="s">
        <v>42</v>
      </c>
      <c r="M7" s="47" t="s">
        <v>81</v>
      </c>
      <c r="N7" s="24" t="s"/>
    </row>
    <row r="8" spans="1:14" ht="49.5" customHeight="1">
      <c r="A8" s="47" t="s">
        <v>82</v>
      </c>
      <c r="B8" s="47" t="s">
        <v>149</v>
      </c>
      <c r="C8" s="47" t="s">
        <v>83</v>
      </c>
      <c r="D8" s="47" t="s">
        <v>46</v>
      </c>
      <c r="E8" s="47" t="s">
        <v>35</v>
      </c>
      <c r="F8" s="47" t="s">
        <v>36</v>
      </c>
      <c r="G8" s="47" t="s">
        <v>37</v>
      </c>
      <c r="H8" s="47" t="s">
        <v>84</v>
      </c>
      <c r="I8" s="47" t="s">
        <v>85</v>
      </c>
      <c r="J8" s="47" t="s">
        <v>79</v>
      </c>
      <c r="K8" s="47" t="s">
        <v>86</v>
      </c>
      <c r="L8" s="47" t="s">
        <v>42</v>
      </c>
      <c r="M8" s="47" t="s">
        <v>87</v>
      </c>
      <c r="N8" s="24" t="s"/>
    </row>
    <row r="9" spans="1:14" ht="49.5" customHeight="1">
      <c r="A9" s="47" t="s">
        <v>88</v>
      </c>
      <c r="B9" s="47" t="s">
        <v>149</v>
      </c>
      <c r="C9" s="47" t="s">
        <v>89</v>
      </c>
      <c r="D9" s="47" t="s">
        <v>34</v>
      </c>
      <c r="E9" s="47" t="s">
        <v>35</v>
      </c>
      <c r="F9" s="47" t="s">
        <v>36</v>
      </c>
      <c r="G9" s="47" t="s">
        <v>37</v>
      </c>
      <c r="H9" s="47" t="s">
        <v>90</v>
      </c>
      <c r="I9" s="47" t="s">
        <v>91</v>
      </c>
      <c r="J9" s="47" t="s">
        <v>92</v>
      </c>
      <c r="K9" s="47" t="s">
        <v>93</v>
      </c>
      <c r="L9" s="47" t="s">
        <v>42</v>
      </c>
      <c r="M9" s="47" t="s">
        <v>94</v>
      </c>
      <c r="N9" s="24" t="s"/>
    </row>
    <row r="10" spans="1:14" ht="38.25" customHeight="1">
      <c r="A10" s="47" t="s">
        <v>95</v>
      </c>
      <c r="B10" s="47" t="s">
        <v>149</v>
      </c>
      <c r="C10" s="47" t="s">
        <v>96</v>
      </c>
      <c r="D10" s="47" t="s">
        <v>34</v>
      </c>
      <c r="E10" s="47" t="s">
        <v>35</v>
      </c>
      <c r="F10" s="47" t="s">
        <v>36</v>
      </c>
      <c r="G10" s="47" t="s">
        <v>97</v>
      </c>
      <c r="H10" s="47" t="s">
        <v>98</v>
      </c>
      <c r="I10" s="47" t="s">
        <v>99</v>
      </c>
      <c r="J10" s="47" t="s">
        <v>100</v>
      </c>
      <c r="K10" s="47" t="s">
        <v>101</v>
      </c>
      <c r="L10" s="47" t="s">
        <v>42</v>
      </c>
      <c r="M10" s="47" t="s">
        <v>102</v>
      </c>
      <c r="N10" s="24" t="s"/>
    </row>
    <row r="11" spans="1:14" ht="60.75" customHeight="1">
      <c r="A11" s="47" t="s">
        <v>103</v>
      </c>
      <c r="B11" s="47" t="s">
        <v>149</v>
      </c>
      <c r="C11" s="47" t="s">
        <v>105</v>
      </c>
      <c r="D11" s="47" t="s">
        <v>34</v>
      </c>
      <c r="E11" s="47" t="s">
        <v>35</v>
      </c>
      <c r="F11" s="47" t="s">
        <v>36</v>
      </c>
      <c r="G11" s="47" t="s">
        <v>106</v>
      </c>
      <c r="H11" s="47" t="s">
        <v>107</v>
      </c>
      <c r="I11" s="47" t="s">
        <v>108</v>
      </c>
      <c r="J11" s="47" t="s">
        <v>109</v>
      </c>
      <c r="K11" s="47" t="s">
        <v>151</v>
      </c>
      <c r="L11" s="47" t="s">
        <v>59</v>
      </c>
      <c r="M11" s="47" t="s">
        <v>111</v>
      </c>
      <c r="N11" s="24" t="s"/>
    </row>
    <row r="12" spans="1:14" ht="38.25" customHeight="1">
      <c r="A12" s="47" t="s">
        <v>112</v>
      </c>
      <c r="B12" s="47" t="s">
        <v>149</v>
      </c>
      <c r="C12" s="47" t="s">
        <v>113</v>
      </c>
      <c r="D12" s="47" t="s">
        <v>46</v>
      </c>
      <c r="E12" s="47" t="s">
        <v>35</v>
      </c>
      <c r="F12" s="47" t="s">
        <v>36</v>
      </c>
      <c r="G12" s="47" t="s">
        <v>114</v>
      </c>
      <c r="H12" s="47" t="s">
        <v>115</v>
      </c>
      <c r="I12" s="47" t="s">
        <v>116</v>
      </c>
      <c r="J12" s="47" t="s">
        <v>117</v>
      </c>
      <c r="K12" s="47" t="s">
        <v>118</v>
      </c>
      <c r="L12" s="47" t="s">
        <v>42</v>
      </c>
      <c r="M12" s="47" t="s">
        <v>119</v>
      </c>
      <c r="N12" s="24" t="s"/>
    </row>
    <row r="13" spans="1:14" ht="60.75" customHeight="1">
      <c r="A13" s="47" t="s">
        <v>120</v>
      </c>
      <c r="B13" s="47" t="s">
        <v>149</v>
      </c>
      <c r="C13" s="47" t="s">
        <v>121</v>
      </c>
      <c r="D13" s="47" t="s">
        <v>34</v>
      </c>
      <c r="E13" s="47" t="s">
        <v>35</v>
      </c>
      <c r="F13" s="47" t="s">
        <v>36</v>
      </c>
      <c r="G13" s="47" t="s">
        <v>122</v>
      </c>
      <c r="H13" s="47" t="s">
        <v>123</v>
      </c>
      <c r="I13" s="47" t="s">
        <v>124</v>
      </c>
      <c r="J13" s="47" t="s">
        <v>125</v>
      </c>
      <c r="K13" s="47" t="s">
        <v>152</v>
      </c>
      <c r="L13" s="47" t="s">
        <v>42</v>
      </c>
      <c r="M13" s="47" t="s">
        <v>127</v>
      </c>
      <c r="N13" s="24" t="s"/>
    </row>
    <row r="14" spans="1:14" ht="49.5" customHeight="1">
      <c r="A14" s="47" t="s">
        <v>128</v>
      </c>
      <c r="B14" s="47" t="s">
        <v>150</v>
      </c>
      <c r="C14" s="47" t="s">
        <v>130</v>
      </c>
      <c r="D14" s="47" t="s">
        <v>34</v>
      </c>
      <c r="E14" s="47" t="s">
        <v>35</v>
      </c>
      <c r="F14" s="47" t="s">
        <v>36</v>
      </c>
      <c r="G14" s="47" t="s">
        <v>131</v>
      </c>
      <c r="H14" s="47" t="s">
        <v>132</v>
      </c>
      <c r="I14" s="47" t="s">
        <v>133</v>
      </c>
      <c r="J14" s="47" t="s">
        <v>134</v>
      </c>
      <c r="K14" s="47" t="s">
        <v>135</v>
      </c>
      <c r="L14" s="47" t="s">
        <v>42</v>
      </c>
      <c r="M14" s="47" t="s">
        <v>136</v>
      </c>
      <c r="N14" s="24" t="s"/>
    </row>
    <row r="15" spans="1:14" ht="38.25" customHeight="1">
      <c r="A15" s="47" t="s">
        <v>137</v>
      </c>
      <c r="B15" s="47" t="s">
        <v>150</v>
      </c>
      <c r="C15" s="47" t="s">
        <v>138</v>
      </c>
      <c r="D15" s="47" t="s">
        <v>46</v>
      </c>
      <c r="E15" s="47" t="s">
        <v>35</v>
      </c>
      <c r="F15" s="47" t="s">
        <v>36</v>
      </c>
      <c r="G15" s="47" t="s">
        <v>131</v>
      </c>
      <c r="H15" s="47" t="s">
        <v>139</v>
      </c>
      <c r="I15" s="47" t="s">
        <v>140</v>
      </c>
      <c r="J15" s="47" t="s">
        <v>141</v>
      </c>
      <c r="K15" s="47" t="s">
        <v>142</v>
      </c>
      <c r="L15" s="47" t="s">
        <v>42</v>
      </c>
      <c r="M15" s="47" t="s">
        <v>136</v>
      </c>
      <c r="N15" s="24" t="s"/>
    </row>
    <row r="16" spans="1:14" ht="60.75" customHeight="1">
      <c r="A16" s="47" t="s">
        <v>143</v>
      </c>
      <c r="B16" s="47" t="s">
        <v>150</v>
      </c>
      <c r="C16" s="47" t="s">
        <v>144</v>
      </c>
      <c r="D16" s="47" t="s">
        <v>34</v>
      </c>
      <c r="E16" s="47" t="s">
        <v>35</v>
      </c>
      <c r="F16" s="47" t="s">
        <v>36</v>
      </c>
      <c r="G16" s="47" t="s">
        <v>131</v>
      </c>
      <c r="H16" s="47" t="s">
        <v>145</v>
      </c>
      <c r="I16" s="47" t="s">
        <v>146</v>
      </c>
      <c r="J16" s="47" t="s">
        <v>147</v>
      </c>
      <c r="K16" s="47" t="s">
        <v>148</v>
      </c>
      <c r="L16" s="47" t="s">
        <v>59</v>
      </c>
      <c r="M16" s="47" t="s">
        <v>136</v>
      </c>
      <c r="N16" s="24" t="s"/>
    </row>
    <row r="17" spans="1:14">
      <c r="A17" s="47" t="s"/>
      <c r="B17" s="47" t="s"/>
      <c r="C17" s="47" t="s"/>
      <c r="D17" s="47" t="s"/>
      <c r="E17" s="47" t="s"/>
      <c r="F17" s="47" t="s"/>
      <c r="G17" s="47" t="s"/>
      <c r="H17" s="47" t="s"/>
      <c r="I17" s="47" t="s"/>
      <c r="J17" s="47" t="s"/>
      <c r="K17" s="47" t="s"/>
      <c r="L17" s="47" t="s"/>
      <c r="M17" s="47" t="s"/>
      <c r="N17" s="24" t="s"/>
    </row>
    <row r="18" spans="1:14">
      <c r="A18" s="47" t="s"/>
      <c r="B18" s="47" t="s"/>
      <c r="C18" s="47" t="s"/>
      <c r="D18" s="47" t="s"/>
      <c r="E18" s="47" t="s"/>
      <c r="F18" s="47" t="s"/>
      <c r="G18" s="47" t="s"/>
      <c r="H18" s="47" t="s"/>
      <c r="I18" s="47" t="s"/>
      <c r="J18" s="47" t="s"/>
      <c r="K18" s="47" t="s"/>
      <c r="L18" s="47" t="s"/>
      <c r="M18" s="47" t="s"/>
      <c r="N18" s="24" t="s"/>
    </row>
    <row r="19" spans="1:14">
      <c r="A19" s="47" t="s"/>
      <c r="B19" s="47" t="s"/>
      <c r="C19" s="47" t="s"/>
      <c r="D19" s="47" t="s"/>
      <c r="E19" s="47" t="s"/>
      <c r="F19" s="47" t="s"/>
      <c r="G19" s="47" t="s"/>
      <c r="H19" s="47" t="s"/>
      <c r="I19" s="47" t="s"/>
      <c r="J19" s="47" t="s"/>
      <c r="K19" s="47" t="s"/>
      <c r="L19" s="47" t="s"/>
      <c r="M19" s="47" t="s"/>
      <c r="N19" s="24" t="s"/>
    </row>
    <row r="20" spans="1:14">
      <c r="A20" s="47" t="s"/>
      <c r="B20" s="47" t="s"/>
      <c r="C20" s="47" t="s"/>
      <c r="D20" s="47" t="s"/>
      <c r="E20" s="47" t="s"/>
      <c r="F20" s="47" t="s"/>
      <c r="G20" s="47" t="s"/>
      <c r="H20" s="47" t="s"/>
      <c r="I20" s="47" t="s"/>
      <c r="J20" s="47" t="s"/>
      <c r="K20" s="47" t="s"/>
      <c r="L20" s="47" t="s"/>
      <c r="M20" s="47" t="s"/>
      <c r="N20" s="24" t="s"/>
    </row>
    <row r="21" spans="1:14">
      <c r="A21" s="47" t="s"/>
      <c r="B21" s="47" t="s"/>
      <c r="C21" s="47" t="s"/>
      <c r="D21" s="47" t="s"/>
      <c r="E21" s="47" t="s"/>
      <c r="F21" s="47" t="s"/>
      <c r="G21" s="47" t="s"/>
      <c r="H21" s="47" t="s"/>
      <c r="I21" s="47" t="s"/>
      <c r="J21" s="47" t="s"/>
      <c r="K21" s="47" t="s"/>
      <c r="L21" s="47" t="s"/>
      <c r="M21" s="47" t="s"/>
      <c r="N21" s="24" t="s"/>
    </row>
    <row r="22" spans="1:14">
      <c r="A22" s="47" t="s"/>
      <c r="B22" s="47" t="s"/>
      <c r="C22" s="47" t="s"/>
      <c r="D22" s="47" t="s"/>
      <c r="E22" s="47" t="s"/>
      <c r="F22" s="47" t="s"/>
      <c r="G22" s="47" t="s"/>
      <c r="H22" s="47" t="s"/>
      <c r="I22" s="47" t="s"/>
      <c r="J22" s="47" t="s"/>
      <c r="K22" s="47" t="s"/>
      <c r="L22" s="47" t="s"/>
      <c r="M22" s="47" t="s"/>
      <c r="N22" s="24" t="s"/>
    </row>
    <row r="23" spans="1:14">
      <c r="A23" s="47" t="s"/>
      <c r="B23" s="47" t="s"/>
      <c r="C23" s="47" t="s"/>
      <c r="D23" s="47" t="s"/>
      <c r="E23" s="47" t="s"/>
      <c r="F23" s="47" t="s"/>
      <c r="G23" s="47" t="s"/>
      <c r="H23" s="47" t="s"/>
      <c r="I23" s="47" t="s"/>
      <c r="J23" s="47" t="s"/>
      <c r="K23" s="47" t="s"/>
      <c r="L23" s="47" t="s"/>
      <c r="M23" s="47" t="s"/>
      <c r="N23" s="24" t="s"/>
    </row>
    <row r="24" spans="1:14">
      <c r="A24" s="47" t="s"/>
      <c r="B24" s="47" t="s"/>
      <c r="C24" s="47" t="s"/>
      <c r="D24" s="47" t="s"/>
      <c r="E24" s="47" t="s"/>
      <c r="F24" s="47" t="s"/>
      <c r="G24" s="47" t="s"/>
      <c r="H24" s="47" t="s"/>
      <c r="I24" s="47" t="s"/>
      <c r="J24" s="47" t="s"/>
      <c r="K24" s="47" t="s"/>
      <c r="L24" s="47" t="s"/>
      <c r="M24" s="47" t="s"/>
      <c r="N24" s="24" t="s"/>
    </row>
    <row r="25" spans="1:14">
      <c r="A25" s="47" t="s"/>
      <c r="B25" s="47" t="s"/>
      <c r="C25" s="47" t="s"/>
      <c r="D25" s="47" t="s"/>
      <c r="E25" s="47" t="s"/>
      <c r="F25" s="47" t="s"/>
      <c r="G25" s="47" t="s"/>
      <c r="H25" s="47" t="s"/>
      <c r="I25" s="47" t="s"/>
      <c r="J25" s="47" t="s"/>
      <c r="K25" s="47" t="s"/>
      <c r="L25" s="47" t="s"/>
      <c r="M25" s="47" t="s"/>
      <c r="N25" s="24" t="s"/>
    </row>
    <row r="26" spans="1:14">
      <c r="A26" s="47" t="s"/>
      <c r="B26" s="47" t="s"/>
      <c r="C26" s="47" t="s"/>
      <c r="D26" s="47" t="s"/>
      <c r="E26" s="47" t="s"/>
      <c r="F26" s="47" t="s"/>
      <c r="G26" s="47" t="s"/>
      <c r="H26" s="47" t="s"/>
      <c r="I26" s="47" t="s"/>
      <c r="J26" s="47" t="s"/>
      <c r="K26" s="47" t="s"/>
      <c r="L26" s="47" t="s"/>
      <c r="M26" s="47" t="s"/>
      <c r="N26" s="24" t="s"/>
    </row>
    <row r="27" spans="1:14">
      <c r="A27" s="47" t="s"/>
      <c r="B27" s="47" t="s"/>
      <c r="C27" s="47" t="s"/>
      <c r="D27" s="47" t="s"/>
      <c r="E27" s="47" t="s"/>
      <c r="F27" s="47" t="s"/>
      <c r="G27" s="47" t="s"/>
      <c r="H27" s="47" t="s"/>
      <c r="I27" s="47" t="s"/>
      <c r="J27" s="47" t="s"/>
      <c r="K27" s="47" t="s"/>
      <c r="L27" s="47" t="s"/>
      <c r="M27" s="47" t="s"/>
      <c r="N27" s="24" t="s"/>
    </row>
    <row r="28" spans="1:14">
      <c r="A28" s="47" t="s"/>
      <c r="B28" s="47" t="s"/>
      <c r="C28" s="47" t="s"/>
      <c r="D28" s="47" t="s"/>
      <c r="E28" s="47" t="s"/>
      <c r="F28" s="47" t="s"/>
      <c r="G28" s="47" t="s"/>
      <c r="H28" s="47" t="s"/>
      <c r="I28" s="47" t="s"/>
      <c r="J28" s="47" t="s"/>
      <c r="K28" s="47" t="s"/>
      <c r="L28" s="47" t="s"/>
      <c r="M28" s="47" t="s"/>
      <c r="N28" s="24" t="s"/>
    </row>
    <row r="29" spans="1:14">
      <c r="A29" s="47" t="s"/>
      <c r="B29" s="47" t="s"/>
      <c r="C29" s="47" t="s"/>
      <c r="D29" s="47" t="s"/>
      <c r="E29" s="47" t="s"/>
      <c r="F29" s="47" t="s"/>
      <c r="G29" s="47" t="s"/>
      <c r="H29" s="47" t="s"/>
      <c r="I29" s="47" t="s"/>
      <c r="J29" s="47" t="s"/>
      <c r="K29" s="47" t="s"/>
      <c r="L29" s="47" t="s"/>
      <c r="M29" s="47" t="s"/>
      <c r="N29" s="24" t="s"/>
    </row>
    <row r="30" spans="1:14">
      <c r="A30" s="47" t="s"/>
      <c r="B30" s="47" t="s"/>
      <c r="C30" s="47" t="s"/>
      <c r="D30" s="47" t="s"/>
      <c r="E30" s="47" t="s"/>
      <c r="F30" s="47" t="s"/>
      <c r="G30" s="47" t="s"/>
      <c r="H30" s="47" t="s"/>
      <c r="I30" s="47" t="s"/>
      <c r="J30" s="47" t="s"/>
      <c r="K30" s="47" t="s"/>
      <c r="L30" s="47" t="s"/>
      <c r="M30" s="47" t="s"/>
      <c r="N30" s="24" t="s"/>
    </row>
    <row r="31" spans="1:14">
      <c r="A31" s="47" t="s"/>
      <c r="B31" s="47" t="s"/>
      <c r="C31" s="47" t="s"/>
      <c r="D31" s="47" t="s"/>
      <c r="E31" s="47" t="s"/>
      <c r="F31" s="47" t="s"/>
      <c r="G31" s="47" t="s"/>
      <c r="H31" s="47" t="s"/>
      <c r="I31" s="47" t="s"/>
      <c r="J31" s="47" t="s"/>
      <c r="K31" s="47" t="s"/>
      <c r="L31" s="47" t="s"/>
      <c r="M31" s="47" t="s"/>
      <c r="N31" s="24" t="s"/>
    </row>
    <row r="32" spans="1:14">
      <c r="A32" s="47" t="s"/>
      <c r="B32" s="47" t="s"/>
      <c r="C32" s="47" t="s"/>
      <c r="D32" s="47" t="s"/>
      <c r="E32" s="47" t="s"/>
      <c r="F32" s="47" t="s"/>
      <c r="G32" s="47" t="s"/>
      <c r="H32" s="47" t="s"/>
      <c r="I32" s="47" t="s"/>
      <c r="J32" s="47" t="s"/>
      <c r="K32" s="47" t="s"/>
      <c r="L32" s="47" t="s"/>
      <c r="M32" s="47" t="s"/>
      <c r="N32" s="24" t="s"/>
    </row>
    <row r="33" spans="1:14">
      <c r="A33" s="47" t="s"/>
      <c r="B33" s="47" t="s"/>
      <c r="C33" s="47" t="s"/>
      <c r="D33" s="47" t="s"/>
      <c r="E33" s="47" t="s"/>
      <c r="F33" s="47" t="s"/>
      <c r="G33" s="47" t="s"/>
      <c r="H33" s="47" t="s"/>
      <c r="I33" s="47" t="s"/>
      <c r="J33" s="47" t="s"/>
      <c r="K33" s="47" t="s"/>
      <c r="L33" s="47" t="s"/>
      <c r="M33" s="47" t="s"/>
      <c r="N33" s="24" t="s"/>
    </row>
    <row r="34" spans="1:14">
      <c r="A34" s="47" t="s"/>
      <c r="B34" s="47" t="s"/>
      <c r="C34" s="47" t="s"/>
      <c r="D34" s="47" t="s"/>
      <c r="E34" s="47" t="s"/>
      <c r="F34" s="47" t="s"/>
      <c r="G34" s="47" t="s"/>
      <c r="H34" s="47" t="s"/>
      <c r="I34" s="47" t="s"/>
      <c r="J34" s="47" t="s"/>
      <c r="K34" s="47" t="s"/>
      <c r="L34" s="47" t="s"/>
      <c r="M34" s="47" t="s"/>
      <c r="N34" s="24" t="s"/>
    </row>
    <row r="35" spans="1:14">
      <c r="A35" s="47" t="s"/>
      <c r="B35" s="47" t="s"/>
      <c r="C35" s="47" t="s"/>
      <c r="D35" s="47" t="s"/>
      <c r="E35" s="47" t="s"/>
      <c r="F35" s="47" t="s"/>
      <c r="G35" s="47" t="s"/>
      <c r="H35" s="47" t="s"/>
      <c r="I35" s="47" t="s"/>
      <c r="J35" s="47" t="s"/>
      <c r="K35" s="47" t="s"/>
      <c r="L35" s="47" t="s"/>
      <c r="M35" s="47" t="s"/>
      <c r="N35" s="24" t="s"/>
    </row>
    <row r="36" spans="1:14">
      <c r="A36" s="47" t="s"/>
      <c r="B36" s="47" t="s"/>
      <c r="C36" s="47" t="s"/>
      <c r="D36" s="47" t="s"/>
      <c r="E36" s="47" t="s"/>
      <c r="F36" s="47" t="s"/>
      <c r="G36" s="47" t="s"/>
      <c r="H36" s="47" t="s"/>
      <c r="I36" s="47" t="s"/>
      <c r="J36" s="47" t="s"/>
      <c r="K36" s="47" t="s"/>
      <c r="L36" s="47" t="s"/>
      <c r="M36" s="47" t="s"/>
      <c r="N36" s="24" t="s"/>
    </row>
    <row r="37" spans="1:14">
      <c r="A37" s="47" t="s"/>
      <c r="B37" s="47" t="s"/>
      <c r="C37" s="47" t="s"/>
      <c r="D37" s="47" t="s"/>
      <c r="E37" s="47" t="s"/>
      <c r="F37" s="47" t="s"/>
      <c r="G37" s="47" t="s"/>
      <c r="H37" s="47" t="s"/>
      <c r="I37" s="47" t="s"/>
      <c r="J37" s="47" t="s"/>
      <c r="K37" s="47" t="s"/>
      <c r="L37" s="47" t="s"/>
      <c r="M37" s="47" t="s"/>
      <c r="N37" s="24" t="s"/>
    </row>
    <row r="38" spans="1:14">
      <c r="A38" s="47" t="s"/>
      <c r="B38" s="47" t="s"/>
      <c r="C38" s="47" t="s"/>
      <c r="D38" s="47" t="s"/>
      <c r="E38" s="47" t="s"/>
      <c r="F38" s="47" t="s"/>
      <c r="G38" s="47" t="s"/>
      <c r="H38" s="47" t="s"/>
      <c r="I38" s="47" t="s"/>
      <c r="J38" s="47" t="s"/>
      <c r="K38" s="47" t="s"/>
      <c r="L38" s="47" t="s"/>
      <c r="M38" s="47" t="s"/>
      <c r="N38" s="24" t="s"/>
    </row>
    <row r="39" spans="1:14">
      <c r="A39" s="47" t="s"/>
      <c r="B39" s="47" t="s"/>
      <c r="C39" s="47" t="s"/>
      <c r="D39" s="47" t="s"/>
      <c r="E39" s="47" t="s"/>
      <c r="F39" s="47" t="s"/>
      <c r="G39" s="47" t="s"/>
      <c r="H39" s="47" t="s"/>
      <c r="I39" s="47" t="s"/>
      <c r="J39" s="47" t="s"/>
      <c r="K39" s="47" t="s"/>
      <c r="L39" s="47" t="s"/>
      <c r="M39" s="47" t="s"/>
      <c r="N39" s="24" t="s"/>
    </row>
    <row r="40" spans="1:14">
      <c r="A40" s="47" t="s"/>
      <c r="B40" s="47" t="s"/>
      <c r="C40" s="47" t="s"/>
      <c r="D40" s="47" t="s"/>
      <c r="E40" s="47" t="s"/>
      <c r="F40" s="47" t="s"/>
      <c r="G40" s="47" t="s"/>
      <c r="H40" s="47" t="s"/>
      <c r="I40" s="47" t="s"/>
      <c r="J40" s="47" t="s"/>
      <c r="K40" s="47" t="s"/>
      <c r="L40" s="47" t="s"/>
      <c r="M40" s="47" t="s"/>
      <c r="N40" s="24" t="s"/>
    </row>
    <row r="41" spans="1:14">
      <c r="A41" s="47" t="s"/>
      <c r="B41" s="47" t="s"/>
      <c r="C41" s="47" t="s"/>
      <c r="D41" s="47" t="s"/>
      <c r="E41" s="47" t="s"/>
      <c r="F41" s="47" t="s"/>
      <c r="G41" s="47" t="s"/>
      <c r="H41" s="47" t="s"/>
      <c r="I41" s="47" t="s"/>
      <c r="J41" s="47" t="s"/>
      <c r="K41" s="47" t="s"/>
      <c r="L41" s="47" t="s"/>
      <c r="M41" s="47" t="s"/>
      <c r="N41" s="24" t="s"/>
    </row>
    <row r="42" spans="1:14">
      <c r="A42" s="47" t="s"/>
      <c r="B42" s="47" t="s"/>
      <c r="C42" s="47" t="s"/>
      <c r="D42" s="47" t="s"/>
      <c r="E42" s="47" t="s"/>
      <c r="F42" s="47" t="s"/>
      <c r="G42" s="47" t="s"/>
      <c r="H42" s="47" t="s"/>
      <c r="I42" s="47" t="s"/>
      <c r="J42" s="47" t="s"/>
      <c r="K42" s="47" t="s"/>
      <c r="L42" s="47" t="s"/>
      <c r="M42" s="47" t="s"/>
      <c r="N42" s="24" t="s"/>
    </row>
    <row r="43" spans="1:14">
      <c r="A43" s="47" t="s"/>
      <c r="B43" s="47" t="s"/>
      <c r="C43" s="47" t="s"/>
      <c r="D43" s="47" t="s"/>
      <c r="E43" s="47" t="s"/>
      <c r="F43" s="47" t="s"/>
      <c r="G43" s="47" t="s"/>
      <c r="H43" s="47" t="s"/>
      <c r="I43" s="47" t="s"/>
      <c r="J43" s="47" t="s"/>
      <c r="K43" s="47" t="s"/>
      <c r="L43" s="47" t="s"/>
      <c r="M43" s="47" t="s"/>
      <c r="N43" s="24" t="s"/>
    </row>
    <row r="44" spans="1:14">
      <c r="A44" s="47" t="s"/>
      <c r="B44" s="47" t="s"/>
      <c r="C44" s="47" t="s"/>
      <c r="D44" s="47" t="s"/>
      <c r="E44" s="47" t="s"/>
      <c r="F44" s="47" t="s"/>
      <c r="G44" s="47" t="s"/>
      <c r="H44" s="47" t="s"/>
      <c r="I44" s="47" t="s"/>
      <c r="J44" s="47" t="s"/>
      <c r="K44" s="47" t="s"/>
      <c r="L44" s="47" t="s"/>
      <c r="M44" s="47" t="s"/>
      <c r="N44" s="24" t="s"/>
    </row>
    <row r="45" spans="1:14">
      <c r="A45" s="47" t="s"/>
      <c r="B45" s="47" t="s"/>
      <c r="C45" s="47" t="s"/>
      <c r="D45" s="47" t="s"/>
      <c r="E45" s="47" t="s"/>
      <c r="F45" s="47" t="s"/>
      <c r="G45" s="47" t="s"/>
      <c r="H45" s="47" t="s"/>
      <c r="I45" s="47" t="s"/>
      <c r="J45" s="47" t="s"/>
      <c r="K45" s="47" t="s"/>
      <c r="L45" s="47" t="s"/>
      <c r="M45" s="47" t="s"/>
      <c r="N45" s="24" t="s"/>
    </row>
    <row r="46" spans="1:14">
      <c r="A46" s="47" t="s"/>
      <c r="B46" s="47" t="s"/>
      <c r="C46" s="47" t="s"/>
      <c r="D46" s="47" t="s"/>
      <c r="E46" s="47" t="s"/>
      <c r="F46" s="47" t="s"/>
      <c r="G46" s="47" t="s"/>
      <c r="H46" s="47" t="s"/>
      <c r="I46" s="47" t="s"/>
      <c r="J46" s="47" t="s"/>
      <c r="K46" s="47" t="s"/>
      <c r="L46" s="47" t="s"/>
      <c r="M46" s="47" t="s"/>
      <c r="N46" s="24" t="s"/>
    </row>
    <row r="47" spans="1:14">
      <c r="A47" s="47" t="s"/>
      <c r="B47" s="47" t="s"/>
      <c r="C47" s="47" t="s"/>
      <c r="D47" s="47" t="s"/>
      <c r="E47" s="47" t="s"/>
      <c r="F47" s="47" t="s"/>
      <c r="G47" s="47" t="s"/>
      <c r="H47" s="47" t="s"/>
      <c r="I47" s="47" t="s"/>
      <c r="J47" s="47" t="s"/>
      <c r="K47" s="47" t="s"/>
      <c r="L47" s="47" t="s"/>
      <c r="M47" s="47" t="s"/>
      <c r="N47" s="24" t="s"/>
    </row>
    <row r="48" spans="1:14">
      <c r="A48" s="47" t="s"/>
      <c r="B48" s="47" t="s"/>
      <c r="C48" s="47" t="s"/>
      <c r="D48" s="47" t="s"/>
      <c r="E48" s="47" t="s"/>
      <c r="F48" s="47" t="s"/>
      <c r="G48" s="47" t="s"/>
      <c r="H48" s="47" t="s"/>
      <c r="I48" s="47" t="s"/>
      <c r="J48" s="47" t="s"/>
      <c r="K48" s="47" t="s"/>
      <c r="L48" s="47" t="s"/>
      <c r="M48" s="47" t="s"/>
      <c r="N48" s="24" t="s"/>
    </row>
    <row r="49" spans="1:14">
      <c r="A49" s="47" t="s"/>
      <c r="B49" s="47" t="s"/>
      <c r="C49" s="47" t="s"/>
      <c r="D49" s="47" t="s"/>
      <c r="E49" s="47" t="s"/>
      <c r="F49" s="47" t="s"/>
      <c r="G49" s="47" t="s"/>
      <c r="H49" s="47" t="s"/>
      <c r="I49" s="47" t="s"/>
      <c r="J49" s="47" t="s"/>
      <c r="K49" s="47" t="s"/>
      <c r="L49" s="47" t="s"/>
      <c r="M49" s="47" t="s"/>
      <c r="N49" s="24" t="s"/>
    </row>
    <row r="50" spans="1:14">
      <c r="A50" s="47" t="s"/>
      <c r="B50" s="47" t="s"/>
      <c r="C50" s="47" t="s"/>
      <c r="D50" s="47" t="s"/>
      <c r="E50" s="47" t="s"/>
      <c r="F50" s="47" t="s"/>
      <c r="G50" s="47" t="s"/>
      <c r="H50" s="47" t="s"/>
      <c r="I50" s="47" t="s"/>
      <c r="J50" s="47" t="s"/>
      <c r="K50" s="47" t="s"/>
      <c r="L50" s="47" t="s"/>
      <c r="M50" s="47" t="s"/>
      <c r="N50" s="24" t="s"/>
    </row>
    <row r="51" spans="1:14">
      <c r="A51" s="47" t="s"/>
      <c r="B51" s="47" t="s"/>
      <c r="C51" s="47" t="s"/>
      <c r="D51" s="47" t="s"/>
      <c r="E51" s="47" t="s"/>
      <c r="F51" s="47" t="s"/>
      <c r="G51" s="47" t="s"/>
      <c r="H51" s="47" t="s"/>
      <c r="I51" s="47" t="s"/>
      <c r="J51" s="47" t="s"/>
      <c r="K51" s="47" t="s"/>
      <c r="L51" s="47" t="s"/>
      <c r="M51" s="47" t="s"/>
      <c r="N51" s="24" t="s"/>
    </row>
    <row r="52" spans="1:14">
      <c r="A52" s="47" t="s"/>
      <c r="B52" s="47" t="s"/>
      <c r="C52" s="47" t="s"/>
      <c r="D52" s="47" t="s"/>
      <c r="E52" s="47" t="s"/>
      <c r="F52" s="47" t="s"/>
      <c r="G52" s="47" t="s"/>
      <c r="H52" s="47" t="s"/>
      <c r="I52" s="47" t="s"/>
      <c r="J52" s="47" t="s"/>
      <c r="K52" s="47" t="s"/>
      <c r="L52" s="47" t="s"/>
      <c r="M52" s="47" t="s"/>
      <c r="N52" s="24" t="s"/>
    </row>
    <row r="53" spans="1:14">
      <c r="A53" s="47" t="s"/>
      <c r="B53" s="47" t="s"/>
      <c r="C53" s="47" t="s"/>
      <c r="D53" s="47" t="s"/>
      <c r="E53" s="47" t="s"/>
      <c r="F53" s="47" t="s"/>
      <c r="G53" s="47" t="s"/>
      <c r="H53" s="47" t="s"/>
      <c r="I53" s="47" t="s"/>
      <c r="J53" s="47" t="s"/>
      <c r="K53" s="47" t="s"/>
      <c r="L53" s="47" t="s"/>
      <c r="M53" s="47" t="s"/>
      <c r="N53" s="24" t="s"/>
    </row>
    <row r="54" spans="1:14">
      <c r="A54" s="47" t="s"/>
      <c r="B54" s="47" t="s"/>
      <c r="C54" s="47" t="s"/>
      <c r="D54" s="47" t="s"/>
      <c r="E54" s="47" t="s"/>
      <c r="F54" s="47" t="s"/>
      <c r="G54" s="47" t="s"/>
      <c r="H54" s="47" t="s"/>
      <c r="I54" s="47" t="s"/>
      <c r="J54" s="47" t="s"/>
      <c r="K54" s="47" t="s"/>
      <c r="L54" s="47" t="s"/>
      <c r="M54" s="47" t="s"/>
      <c r="N54" s="24" t="s"/>
    </row>
    <row r="55" spans="1:14">
      <c r="A55" s="47" t="s"/>
      <c r="B55" s="47" t="s"/>
      <c r="C55" s="47" t="s"/>
      <c r="D55" s="47" t="s"/>
      <c r="E55" s="47" t="s"/>
      <c r="F55" s="47" t="s"/>
      <c r="G55" s="47" t="s"/>
      <c r="H55" s="47" t="s"/>
      <c r="I55" s="47" t="s"/>
      <c r="J55" s="47" t="s"/>
      <c r="K55" s="47" t="s"/>
      <c r="L55" s="47" t="s"/>
      <c r="M55" s="47" t="s"/>
      <c r="N55" s="24" t="s"/>
    </row>
    <row r="56" spans="1:14">
      <c r="A56" s="47" t="s"/>
      <c r="B56" s="47" t="s"/>
      <c r="C56" s="47" t="s"/>
      <c r="D56" s="47" t="s"/>
      <c r="E56" s="47" t="s"/>
      <c r="F56" s="47" t="s"/>
      <c r="G56" s="47" t="s"/>
      <c r="H56" s="47" t="s"/>
      <c r="I56" s="47" t="s"/>
      <c r="J56" s="47" t="s"/>
      <c r="K56" s="47" t="s"/>
      <c r="L56" s="47" t="s"/>
      <c r="M56" s="47" t="s"/>
      <c r="N56" s="24" t="s"/>
    </row>
    <row r="57" spans="1:14">
      <c r="A57" s="47" t="s"/>
      <c r="B57" s="47" t="s"/>
      <c r="C57" s="47" t="s"/>
      <c r="D57" s="47" t="s"/>
      <c r="E57" s="47" t="s"/>
      <c r="F57" s="47" t="s"/>
      <c r="G57" s="47" t="s"/>
      <c r="H57" s="47" t="s"/>
      <c r="I57" s="47" t="s"/>
      <c r="J57" s="47" t="s"/>
      <c r="K57" s="47" t="s"/>
      <c r="L57" s="47" t="s"/>
      <c r="M57" s="47" t="s"/>
      <c r="N57" s="24" t="s"/>
    </row>
    <row r="58" spans="1:14">
      <c r="A58" s="47" t="s"/>
      <c r="B58" s="47" t="s"/>
      <c r="C58" s="47" t="s"/>
      <c r="D58" s="47" t="s"/>
      <c r="E58" s="47" t="s"/>
      <c r="F58" s="47" t="s"/>
      <c r="G58" s="47" t="s"/>
      <c r="H58" s="47" t="s"/>
      <c r="I58" s="47" t="s"/>
      <c r="J58" s="47" t="s"/>
      <c r="K58" s="47" t="s"/>
      <c r="L58" s="47" t="s"/>
      <c r="M58" s="47" t="s"/>
      <c r="N58" s="24" t="s"/>
    </row>
    <row r="59" spans="1:14">
      <c r="A59" s="47" t="s"/>
      <c r="B59" s="47" t="s"/>
      <c r="C59" s="47" t="s"/>
      <c r="D59" s="47" t="s"/>
      <c r="E59" s="47" t="s"/>
      <c r="F59" s="47" t="s"/>
      <c r="G59" s="47" t="s"/>
      <c r="H59" s="47" t="s"/>
      <c r="I59" s="47" t="s"/>
      <c r="J59" s="47" t="s"/>
      <c r="K59" s="47" t="s"/>
      <c r="L59" s="47" t="s"/>
      <c r="M59" s="47" t="s"/>
      <c r="N59" s="24" t="s"/>
    </row>
    <row r="60" spans="1:14">
      <c r="A60" s="47" t="s"/>
      <c r="B60" s="47" t="s"/>
      <c r="C60" s="47" t="s"/>
      <c r="D60" s="47" t="s"/>
      <c r="E60" s="47" t="s"/>
      <c r="F60" s="47" t="s"/>
      <c r="G60" s="47" t="s"/>
      <c r="H60" s="47" t="s"/>
      <c r="I60" s="47" t="s"/>
      <c r="J60" s="47" t="s"/>
      <c r="K60" s="47" t="s"/>
      <c r="L60" s="47" t="s"/>
      <c r="M60" s="47" t="s"/>
      <c r="N60" s="24" t="s"/>
    </row>
    <row r="61" spans="1:14">
      <c r="A61" s="47" t="s"/>
      <c r="B61" s="47" t="s"/>
      <c r="C61" s="47" t="s"/>
      <c r="D61" s="47" t="s"/>
      <c r="E61" s="47" t="s"/>
      <c r="F61" s="47" t="s"/>
      <c r="G61" s="47" t="s"/>
      <c r="H61" s="47" t="s"/>
      <c r="I61" s="47" t="s"/>
      <c r="J61" s="47" t="s"/>
      <c r="K61" s="47" t="s"/>
      <c r="L61" s="47" t="s"/>
      <c r="M61" s="47" t="s"/>
      <c r="N61" s="24" t="s"/>
    </row>
    <row r="62" spans="1:14">
      <c r="A62" s="47" t="s"/>
      <c r="B62" s="47" t="s"/>
      <c r="C62" s="47" t="s"/>
      <c r="D62" s="47" t="s"/>
      <c r="E62" s="47" t="s"/>
      <c r="F62" s="47" t="s"/>
      <c r="G62" s="47" t="s"/>
      <c r="H62" s="47" t="s"/>
      <c r="I62" s="47" t="s"/>
      <c r="J62" s="47" t="s"/>
      <c r="K62" s="47" t="s"/>
      <c r="L62" s="47" t="s"/>
      <c r="M62" s="47" t="s"/>
      <c r="N62" s="24" t="s"/>
    </row>
    <row r="63" spans="1:14">
      <c r="A63" s="47" t="s"/>
      <c r="B63" s="47" t="s"/>
      <c r="C63" s="47" t="s"/>
      <c r="D63" s="47" t="s"/>
      <c r="E63" s="47" t="s"/>
      <c r="F63" s="47" t="s"/>
      <c r="G63" s="47" t="s"/>
      <c r="H63" s="47" t="s"/>
      <c r="I63" s="47" t="s"/>
      <c r="J63" s="47" t="s"/>
      <c r="K63" s="47" t="s"/>
      <c r="L63" s="47" t="s"/>
      <c r="M63" s="47" t="s"/>
      <c r="N63" s="24" t="s"/>
    </row>
    <row r="64" spans="1:14">
      <c r="A64" s="47" t="s"/>
      <c r="B64" s="47" t="s"/>
      <c r="C64" s="47" t="s"/>
      <c r="D64" s="47" t="s"/>
      <c r="E64" s="47" t="s"/>
      <c r="F64" s="47" t="s"/>
      <c r="G64" s="47" t="s"/>
      <c r="H64" s="47" t="s"/>
      <c r="I64" s="47" t="s"/>
      <c r="J64" s="47" t="s"/>
      <c r="K64" s="47" t="s"/>
      <c r="L64" s="47" t="s"/>
      <c r="M64" s="47" t="s"/>
      <c r="N64" s="24" t="s"/>
    </row>
    <row r="65" spans="1:14">
      <c r="A65" s="47" t="s"/>
      <c r="B65" s="47" t="s"/>
      <c r="C65" s="47" t="s"/>
      <c r="D65" s="47" t="s"/>
      <c r="E65" s="47" t="s"/>
      <c r="F65" s="47" t="s"/>
      <c r="G65" s="47" t="s"/>
      <c r="H65" s="47" t="s"/>
      <c r="I65" s="47" t="s"/>
      <c r="J65" s="47" t="s"/>
      <c r="K65" s="47" t="s"/>
      <c r="L65" s="47" t="s"/>
      <c r="M65" s="47" t="s"/>
      <c r="N65" s="24" t="s"/>
    </row>
    <row r="66" spans="1:14">
      <c r="A66" s="47" t="s"/>
      <c r="B66" s="47" t="s"/>
      <c r="C66" s="47" t="s"/>
      <c r="D66" s="47" t="s"/>
      <c r="E66" s="47" t="s"/>
      <c r="F66" s="47" t="s"/>
      <c r="G66" s="47" t="s"/>
      <c r="H66" s="47" t="s"/>
      <c r="I66" s="47" t="s"/>
      <c r="J66" s="47" t="s"/>
      <c r="K66" s="47" t="s"/>
      <c r="L66" s="47" t="s"/>
      <c r="M66" s="47" t="s"/>
      <c r="N66" s="24" t="s"/>
    </row>
    <row r="67" spans="12:12">
      <c r="L67" s="47" t="s"/>
    </row>
    <row r="68" spans="12:12">
      <c r="L68" s="47" t="s"/>
    </row>
    <row r="69" spans="12:12">
      <c r="L69" s="47" t="s"/>
    </row>
    <row r="70" spans="12:12">
      <c r="L70" s="47" t="s"/>
    </row>
    <row r="71" spans="12:12">
      <c r="L71" s="47" t="s"/>
    </row>
    <row r="72" spans="12:12">
      <c r="L72" s="47" t="s"/>
    </row>
    <row r="73" spans="12:12">
      <c r="L73" s="47" t="s"/>
    </row>
    <row r="74" spans="12:12">
      <c r="L74" s="47" t="s"/>
    </row>
    <row r="75" spans="12:12">
      <c r="L75" s="47" t="s"/>
    </row>
    <row r="76" spans="12:12">
      <c r="L76" s="47" t="s"/>
    </row>
    <row r="77" spans="12:12">
      <c r="L77" s="47" t="s"/>
    </row>
    <row r="78" spans="12:12">
      <c r="L78" s="47" t="s"/>
    </row>
    <row r="79" spans="12:12">
      <c r="L79" s="47" t="s"/>
    </row>
    <row r="80" spans="12:12">
      <c r="L80" s="47" t="s"/>
    </row>
    <row r="81" spans="12:12">
      <c r="L81" s="47" t="s"/>
    </row>
    <row r="82" spans="12:12">
      <c r="L82" s="47" t="s"/>
    </row>
    <row r="83" spans="12:12">
      <c r="L83" s="47" t="s"/>
    </row>
    <row r="84" spans="12:12">
      <c r="L84" s="47" t="s"/>
    </row>
    <row r="85" spans="12:12">
      <c r="L85" s="47" t="s"/>
    </row>
    <row r="86" spans="12:12">
      <c r="L86" s="47" t="s"/>
    </row>
    <row r="87" spans="12:12">
      <c r="L87" s="47" t="s"/>
    </row>
    <row r="88" spans="12:12">
      <c r="L88" s="47" t="s"/>
    </row>
    <row r="89" spans="12:12">
      <c r="L89" s="47" t="s"/>
    </row>
    <row r="90" spans="12:12">
      <c r="L90" s="47" t="s"/>
    </row>
    <row r="91" spans="12:12">
      <c r="L91" s="47" t="s"/>
    </row>
    <row r="92" spans="12:12">
      <c r="L92" s="47" t="s"/>
    </row>
    <row r="93" spans="12:12">
      <c r="L93" s="47" t="s"/>
    </row>
    <row r="94" spans="12:12">
      <c r="L94" s="47" t="s"/>
    </row>
    <row r="95" spans="12:12">
      <c r="L95" s="47" t="s"/>
    </row>
    <row r="96" spans="12:12">
      <c r="L96" s="47" t="s"/>
    </row>
    <row r="97" spans="12:12">
      <c r="L97" s="47" t="s"/>
    </row>
    <row r="98" spans="12:12">
      <c r="L98" s="47" t="s"/>
    </row>
    <row r="99" spans="12:12">
      <c r="L99" s="47" t="s"/>
    </row>
    <row r="100" spans="12:12">
      <c r="L100" s="47" t="s"/>
    </row>
    <row r="101" spans="12:12">
      <c r="L101" s="47" t="s"/>
    </row>
    <row r="102" spans="12:12">
      <c r="L102" s="47" t="s"/>
    </row>
    <row r="103" spans="12:12">
      <c r="L103" s="47" t="s"/>
    </row>
    <row r="104" spans="12:12">
      <c r="L104" s="47" t="s"/>
    </row>
    <row r="105" spans="12:12">
      <c r="L105" s="47" t="s"/>
    </row>
    <row r="106" spans="12:12">
      <c r="L106" s="47" t="s"/>
    </row>
    <row r="107" spans="12:12">
      <c r="L107" s="47" t="s"/>
    </row>
    <row r="108" spans="12:12">
      <c r="L108" s="47" t="s"/>
    </row>
    <row r="109" spans="12:12">
      <c r="L109" s="47" t="s"/>
    </row>
    <row r="110" spans="12:12">
      <c r="L110" s="47" t="s"/>
    </row>
    <row r="111" spans="12:12">
      <c r="L111" s="47" t="s"/>
    </row>
    <row r="112" spans="12:12">
      <c r="L112" s="47" t="s"/>
    </row>
    <row r="113" spans="12:12">
      <c r="L113" s="47" t="s"/>
    </row>
    <row r="114" spans="12:12">
      <c r="L114" s="47" t="s"/>
    </row>
    <row r="115" spans="12:12">
      <c r="L115" s="47" t="s"/>
    </row>
    <row r="116" spans="12:12">
      <c r="L116" s="47" t="s"/>
    </row>
    <row r="117" spans="12:12">
      <c r="L117" s="47" t="s"/>
    </row>
    <row r="118" spans="12:12">
      <c r="L118" s="47" t="s"/>
    </row>
    <row r="119" spans="12:12">
      <c r="L119" s="47" t="s"/>
    </row>
    <row r="120" spans="12:12">
      <c r="L120" s="47" t="s"/>
    </row>
    <row r="121" spans="12:12">
      <c r="L121" s="47" t="s"/>
    </row>
    <row r="122" spans="12:12">
      <c r="L122" s="47" t="s"/>
    </row>
    <row r="123" spans="12:12">
      <c r="L123" s="47" t="s"/>
    </row>
    <row r="124" spans="12:12">
      <c r="L124" s="47" t="s"/>
    </row>
    <row r="125" spans="12:12">
      <c r="L125" s="47" t="s"/>
    </row>
    <row r="126" spans="12:12">
      <c r="L126" s="47" t="s"/>
    </row>
    <row r="127" spans="12:12">
      <c r="L127" s="47" t="s"/>
    </row>
    <row r="128" spans="12:12">
      <c r="L128" s="47" t="s"/>
    </row>
    <row r="129" spans="12:12">
      <c r="L129" s="47" t="s"/>
    </row>
    <row r="130" spans="12:12">
      <c r="L130" s="47" t="s"/>
    </row>
    <row r="131" spans="12:12">
      <c r="L131" s="47" t="s"/>
    </row>
    <row r="132" spans="12:12">
      <c r="L132" s="47" t="s"/>
    </row>
    <row r="133" spans="12:12">
      <c r="L133" s="47" t="s"/>
    </row>
    <row r="134" spans="12:12">
      <c r="L134" s="47" t="s"/>
    </row>
    <row r="135" spans="12:12">
      <c r="L135" s="47" t="s"/>
    </row>
    <row r="136" spans="12:12">
      <c r="L136" s="47" t="s"/>
    </row>
    <row r="137" spans="12:12">
      <c r="L137" s="47" t="s"/>
    </row>
    <row r="138" spans="12:12">
      <c r="L138" s="47" t="s"/>
    </row>
    <row r="139" spans="12:12">
      <c r="L139" s="47" t="s"/>
    </row>
    <row r="140" spans="12:12">
      <c r="L140" s="47" t="s"/>
    </row>
    <row r="141" spans="12:12">
      <c r="L141" s="47" t="s"/>
    </row>
    <row r="142" spans="12:12">
      <c r="L142" s="47" t="s"/>
    </row>
    <row r="143" spans="12:12">
      <c r="L143" s="47" t="s"/>
    </row>
    <row r="144" spans="12:12">
      <c r="L144" s="47" t="s"/>
    </row>
    <row r="145" spans="12:12">
      <c r="L145" s="47" t="s"/>
    </row>
    <row r="146" spans="12:12">
      <c r="L146" s="47" t="s"/>
    </row>
    <row r="147" spans="12:12">
      <c r="L147" s="47" t="s"/>
    </row>
    <row r="148" spans="12:12">
      <c r="L148" s="47" t="s"/>
    </row>
    <row r="149" spans="12:12">
      <c r="L149" s="47" t="s"/>
    </row>
    <row r="150" spans="12:12">
      <c r="L150" s="47" t="s"/>
    </row>
    <row r="151" spans="12:12">
      <c r="L151" s="47" t="s"/>
    </row>
    <row r="152" spans="12:12">
      <c r="L152" s="47" t="s"/>
    </row>
    <row r="153" spans="12:12">
      <c r="L153" s="47" t="s"/>
    </row>
    <row r="154" spans="12:12">
      <c r="L154" s="47" t="s"/>
    </row>
    <row r="155" spans="12:12">
      <c r="L155" s="47" t="s"/>
    </row>
    <row r="156" spans="12:12">
      <c r="L156" s="47" t="s"/>
    </row>
    <row r="157" spans="12:12">
      <c r="L157" s="47" t="s"/>
    </row>
    <row r="158" spans="12:12">
      <c r="L158" s="47" t="s"/>
    </row>
    <row r="159" spans="12:12">
      <c r="L159" s="47" t="s"/>
    </row>
    <row r="160" spans="12:12">
      <c r="L160" s="47" t="s"/>
    </row>
    <row r="161" spans="12:12">
      <c r="L161" s="47" t="s"/>
    </row>
    <row r="162" spans="12:12">
      <c r="L162" s="47" t="s"/>
    </row>
    <row r="163" spans="12:12">
      <c r="L163" s="47" t="s"/>
    </row>
    <row r="164" spans="12:12">
      <c r="L164" s="47" t="s"/>
    </row>
    <row r="165" spans="12:12">
      <c r="L165" s="47" t="s"/>
    </row>
    <row r="166" spans="12:12">
      <c r="L166" s="47" t="s"/>
    </row>
    <row r="167" spans="12:12">
      <c r="L167" s="47" t="s"/>
    </row>
    <row r="168" spans="12:12">
      <c r="L168" s="47" t="s"/>
    </row>
    <row r="169" spans="12:12">
      <c r="L169" s="47" t="s"/>
    </row>
    <row r="170" spans="12:12">
      <c r="L170" s="47" t="s"/>
    </row>
    <row r="171" spans="12:12">
      <c r="L171" s="47" t="s"/>
    </row>
    <row r="172" spans="12:12">
      <c r="L172" s="47" t="s"/>
    </row>
    <row r="173" spans="12:12">
      <c r="L173" s="47" t="s"/>
    </row>
    <row r="174" spans="12:12">
      <c r="L174" s="47" t="s"/>
    </row>
    <row r="175" spans="12:12">
      <c r="L175" s="47" t="s"/>
    </row>
    <row r="176" spans="12:12">
      <c r="L176" s="47" t="s"/>
    </row>
    <row r="177" spans="12:12">
      <c r="L177" s="47" t="s"/>
    </row>
    <row r="178" spans="12:12">
      <c r="L178" s="47" t="s"/>
    </row>
    <row r="179" spans="12:12">
      <c r="L179" s="47" t="s"/>
    </row>
    <row r="180" spans="12:12">
      <c r="L180" s="47" t="s"/>
    </row>
    <row r="181" spans="12:12">
      <c r="L181" s="47" t="s"/>
    </row>
    <row r="182" spans="12:12">
      <c r="L182" s="47" t="s"/>
    </row>
    <row r="183" spans="12:12">
      <c r="L183" s="47" t="s"/>
    </row>
    <row r="184" spans="12:12">
      <c r="L184" s="47" t="s"/>
    </row>
    <row r="185" spans="12:12">
      <c r="L185" s="47" t="s"/>
    </row>
    <row r="186" spans="12:12">
      <c r="L186" s="47" t="s"/>
    </row>
    <row r="187" spans="12:12">
      <c r="L187" s="47" t="s"/>
    </row>
    <row r="188" spans="12:12">
      <c r="L188" s="47" t="s"/>
    </row>
    <row r="189" spans="12:12">
      <c r="L189" s="47" t="s"/>
    </row>
    <row r="190" spans="12:12">
      <c r="L190" s="47" t="s"/>
    </row>
    <row r="191" spans="12:12">
      <c r="L191" s="47" t="s"/>
    </row>
    <row r="192" spans="12:12">
      <c r="L192" s="47" t="s"/>
    </row>
    <row r="193" spans="12:12">
      <c r="L193" s="47" t="s"/>
    </row>
    <row r="194" spans="12:12">
      <c r="L194" s="47" t="s"/>
    </row>
    <row r="195" spans="12:12">
      <c r="L195" s="47" t="s"/>
    </row>
    <row r="196" spans="12:12">
      <c r="L196" s="47" t="s"/>
    </row>
    <row r="197" spans="12:12">
      <c r="L197" s="47" t="s"/>
    </row>
    <row r="198" spans="12:12">
      <c r="L198" s="47" t="s"/>
    </row>
    <row r="199" spans="12:12">
      <c r="L199" s="47" t="s"/>
    </row>
    <row r="200" spans="12:12">
      <c r="L200" s="47" t="s"/>
    </row>
  </sheetData>
  <sheetProtection formatCells="0"/>
  <dataValidations>
    <dataValidation type="list" operator="between" allowBlank="1" showInputMessage="1" showErrorMessage="1" sqref="L2:L200">
      <formula1>'Test Cases测试用例'!$N$2:$N$5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>
  <sheetPr codeName="Sheet3"/>
  <dimension ref="Z10"/>
  <sheetViews>
    <sheetView showGridLines="1" showOutlineSymbols="0" zoomScale="87" zoomScaleNormal="87" workbookViewId="0"/>
  </sheetViews>
  <sheetFormatPr defaultColWidth="11.6308" defaultRowHeight="15.5" outlineLevelCol="2"/>
  <cols>
    <col min="1" max="1" width="4.63077" style="57" customWidth="1"/>
    <col min="2" max="2" width="67.6308" style="57" customWidth="1"/>
    <col min="3" max="26" width="11.6308" style="57"/>
  </cols>
  <sheetData>
    <row r="1" spans="1:3">
      <c r="A1" s="49" t="s">
        <v>195</v>
      </c>
      <c r="B1" s="49" t="s"/>
      <c r="C1" s="50" t="s"/>
    </row>
    <row r="2" spans="1:3" ht="28">
      <c r="A2" s="51">
        <v>1</v>
      </c>
      <c r="B2" s="52" t="s">
        <v>196</v>
      </c>
      <c r="C2" s="50" t="s"/>
    </row>
    <row r="3" spans="1:3">
      <c r="A3" s="51">
        <v>2</v>
      </c>
      <c r="B3" s="52" t="s">
        <v>197</v>
      </c>
      <c r="C3" s="50" t="s"/>
    </row>
    <row r="4" spans="1:3" ht="42">
      <c r="A4" s="51">
        <v>3</v>
      </c>
      <c r="B4" s="52" t="s">
        <v>198</v>
      </c>
      <c r="C4" s="50" t="s"/>
    </row>
    <row r="5" spans="1:3" ht="28">
      <c r="A5" s="51">
        <v>4</v>
      </c>
      <c r="B5" s="52" t="s">
        <v>199</v>
      </c>
      <c r="C5" s="50" t="s"/>
    </row>
    <row r="6" spans="1:3" ht="33" customHeight="1">
      <c r="A6" s="51">
        <v>5</v>
      </c>
      <c r="B6" s="52" t="s">
        <v>200</v>
      </c>
      <c r="C6" s="50" t="s"/>
    </row>
    <row r="7" spans="1:3" ht="42">
      <c r="A7" s="51">
        <v>6</v>
      </c>
      <c r="B7" s="52" t="s">
        <v>201</v>
      </c>
      <c r="C7" s="50" t="s"/>
    </row>
    <row r="8" spans="1:3" ht="28">
      <c r="A8" s="51">
        <v>7</v>
      </c>
      <c r="B8" s="52" t="s">
        <v>202</v>
      </c>
      <c r="C8" s="50" t="s"/>
    </row>
    <row r="9" spans="1:3" ht="28">
      <c r="A9" s="53">
        <v>8</v>
      </c>
      <c r="B9" s="54" t="s">
        <v>203</v>
      </c>
      <c r="C9" s="50" t="s"/>
    </row>
    <row r="10" spans="1:2" ht="73.5" customHeight="1">
      <c r="A10" s="53">
        <v>9</v>
      </c>
      <c r="B10" s="54" t="s">
        <v>204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2026-09-21T11:13:07Z</dcterms:created>
  <dcterms:modified xsi:type="dcterms:W3CDTF">2026-09-21T11:13:07Z</dcterms:modified>
</cp:coreProperties>
</file>