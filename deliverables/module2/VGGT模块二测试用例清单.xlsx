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0_work\1shijian\Software_testing\deliverables\module2\"/>
    </mc:Choice>
  </mc:AlternateContent>
  <bookViews>
    <workbookView windowWidth="24750" windowHeight="12080" activeTab="1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<sst xmlns="http://schemas.openxmlformats.org/spreadsheetml/2006/main" count="303" uniqueCount="200">
  <si>
    <r>
      <rPr>
        <b/>
        <sz val="18"/>
        <rFont val="Times New Roman"/>
        <charset val="134"/>
      </rPr>
      <t xml:space="preserve">Test  Case Form </t>
    </r>
    <r>
      <rPr>
        <b/>
        <sz val="18"/>
        <rFont val="宋体"/>
        <charset val="134"/>
      </rPr>
      <t>测试用例表单</t>
    </r>
  </si>
  <si>
    <r>
      <rPr>
        <sz val="12"/>
        <rFont val="Times New Roman"/>
        <charset val="134"/>
      </rPr>
      <t xml:space="preserve">General Information </t>
    </r>
    <r>
      <rPr>
        <sz val="12"/>
        <rFont val="宋体"/>
        <charset val="134"/>
      </rPr>
      <t>基本信息</t>
    </r>
  </si>
  <si>
    <r>
      <rPr>
        <sz val="12"/>
        <rFont val="Times New Roman"/>
        <charset val="134"/>
      </rPr>
      <t xml:space="preserve">Product Verion </t>
    </r>
    <r>
      <rPr>
        <sz val="12"/>
        <rFont val="宋体"/>
        <charset val="134"/>
      </rPr>
      <t>产品版本</t>
    </r>
  </si>
  <si>
    <t>模块二（AI 融合实践 · 方案1 测 AI）</t>
  </si>
  <si>
    <r>
      <rPr>
        <sz val="12"/>
        <rFont val="Times New Roman"/>
        <charset val="134"/>
      </rPr>
      <t xml:space="preserve">Confidentiality level </t>
    </r>
    <r>
      <rPr>
        <sz val="12"/>
        <rFont val="宋体"/>
        <charset val="134"/>
      </rPr>
      <t>密级</t>
    </r>
  </si>
  <si>
    <t>课程作业</t>
  </si>
  <si>
    <r>
      <rPr>
        <sz val="12"/>
        <rFont val="Times New Roman"/>
        <charset val="134"/>
      </rPr>
      <t xml:space="preserve">Project Name </t>
    </r>
    <r>
      <rPr>
        <sz val="12"/>
        <rFont val="宋体"/>
        <charset val="134"/>
      </rPr>
      <t>项目名称</t>
    </r>
  </si>
  <si>
    <t>VGGT 深度图与 npz 点云输出</t>
  </si>
  <si>
    <r>
      <rPr>
        <sz val="12"/>
        <rFont val="Times New Roman"/>
        <charset val="134"/>
      </rPr>
      <t xml:space="preserve">Project ID </t>
    </r>
    <r>
      <rPr>
        <sz val="12"/>
        <rFont val="宋体"/>
        <charset val="134"/>
      </rPr>
      <t>项目</t>
    </r>
    <r>
      <rPr>
        <sz val="12"/>
        <rFont val="Times New Roman"/>
        <charset val="134"/>
      </rPr>
      <t>ID</t>
    </r>
  </si>
  <si>
    <t>【待填写：项目ID】</t>
  </si>
  <si>
    <r>
      <rPr>
        <sz val="12"/>
        <rFont val="Times New Roman"/>
        <charset val="134"/>
      </rPr>
      <t xml:space="preserve">Prepared by </t>
    </r>
    <r>
      <rPr>
        <sz val="12"/>
        <rFont val="宋体"/>
        <charset val="134"/>
      </rPr>
      <t>拟制</t>
    </r>
  </si>
  <si>
    <t>【待填写：拟制人】</t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</si>
  <si>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</si>
  <si>
    <t>【待填写：日期】</t>
  </si>
  <si>
    <r>
      <rPr>
        <sz val="12"/>
        <rFont val="Times New Roman"/>
        <charset val="134"/>
      </rPr>
      <t xml:space="preserve">Reviewed by </t>
    </r>
    <r>
      <rPr>
        <sz val="12"/>
        <rFont val="宋体"/>
        <charset val="134"/>
      </rPr>
      <t>评审人</t>
    </r>
  </si>
  <si>
    <t>【待填写：评审人】</t>
  </si>
  <si>
    <r>
      <rPr>
        <sz val="12"/>
        <rFont val="Times New Roman"/>
        <charset val="134"/>
      </rPr>
      <t xml:space="preserve">Approved by </t>
    </r>
    <r>
      <rPr>
        <sz val="12"/>
        <rFont val="宋体"/>
        <charset val="134"/>
      </rPr>
      <t>批准</t>
    </r>
  </si>
  <si>
    <t>【待填写：批准人】</t>
  </si>
  <si>
    <r>
      <rPr>
        <sz val="12"/>
        <rFont val="Times New Roman"/>
        <charset val="134"/>
      </rPr>
      <t xml:space="preserve">Number of Test cases </t>
    </r>
    <r>
      <rPr>
        <sz val="12"/>
        <rFont val="宋体"/>
        <charset val="134"/>
      </rPr>
      <t>测试用例数</t>
    </r>
  </si>
  <si>
    <r>
      <rPr>
        <sz val="12"/>
        <rFont val="Times New Roman"/>
        <charset val="134"/>
      </rPr>
      <t xml:space="preserve">Introduction </t>
    </r>
    <r>
      <rPr>
        <sz val="12"/>
        <rFont val="宋体"/>
        <charset val="134"/>
      </rPr>
      <t>概述</t>
    </r>
  </si>
  <si>
    <t>模块二为 AI 融合实践，选定方案 1「测 AI」，被测对象为 VGGT 整个算法的输出：深度图（depth / depth_conf）与 npz 点云（world_points / world_points_from_depth）。共 15 条用例，围绕无真值几何自洽性指标 G1–G4 与鲁棒性扰动矩阵设计，覆盖帧数效应、分辨率、高斯噪声、遮挡、重复运行确定性、跨场景可用性与异常输入。实测通过 13 条、失败 2 条（M2-AI-010、M2-AI-015），对应缺陷 DEF-M2-002 与 DEF-M2-001。</t>
  </si>
  <si>
    <r>
      <rPr>
        <sz val="12"/>
        <rFont val="Times New Roman"/>
        <charset val="134"/>
      </rPr>
      <t xml:space="preserve">Revision Record </t>
    </r>
    <r>
      <rPr>
        <sz val="12"/>
        <rFont val="宋体"/>
        <charset val="134"/>
      </rPr>
      <t>修订记录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</si>
  <si>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</si>
  <si>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Revision Version </t>
    </r>
    <r>
      <rPr>
        <sz val="12"/>
        <rFont val="宋体"/>
        <charset val="134"/>
      </rPr>
      <t>修订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版本</t>
    </r>
  </si>
  <si>
    <r>
      <rPr>
        <sz val="12"/>
        <rFont val="Times New Roman"/>
        <charset val="134"/>
      </rPr>
      <t>CR ID / Defect ID CR</t>
    </r>
    <r>
      <rPr>
        <sz val="12"/>
        <rFont val="宋体"/>
        <charset val="134"/>
      </rPr>
      <t>号</t>
    </r>
  </si>
  <si>
    <r>
      <rPr>
        <sz val="12"/>
        <rFont val="Times New Roman"/>
        <charset val="134"/>
      </rPr>
      <t xml:space="preserve">Change Description </t>
    </r>
    <r>
      <rPr>
        <sz val="12"/>
        <rFont val="宋体"/>
        <charset val="134"/>
      </rPr>
      <t>修改描述</t>
    </r>
  </si>
  <si>
    <r>
      <rPr>
        <sz val="12"/>
        <rFont val="Times New Roman"/>
        <charset val="134"/>
      </rPr>
      <t xml:space="preserve">Author </t>
    </r>
    <r>
      <rPr>
        <sz val="12"/>
        <rFont val="宋体"/>
        <charset val="134"/>
      </rPr>
      <t>作者</t>
    </r>
  </si>
  <si>
    <t>2026.09.11</t>
  </si>
  <si>
    <t>0.10</t>
  </si>
  <si>
    <t>N/A</t>
  </si>
  <si>
    <t>依据附录1模板建立《模块二测试用例清单》副本，清空模板示例数据</t>
  </si>
  <si>
    <t>【待填写】</t>
  </si>
  <si>
    <t>1.00</t>
  </si>
  <si>
    <t>DEF-M2-001、DEF-M2-002</t>
  </si>
  <si>
    <t>填入 15 条 AI 输出测试用例及实测执行结果（通过 POK 13、失败 NG 2），含 G1–G4 指标与鲁棒性扰动矩阵的实测数值</t>
  </si>
  <si>
    <t>xxx</t>
  </si>
  <si>
    <r>
      <rPr>
        <sz val="12"/>
        <rFont val="Times New Roman"/>
        <charset val="134"/>
      </rPr>
      <t xml:space="preserve">revised xxx </t>
    </r>
    <r>
      <rPr>
        <sz val="12"/>
        <rFont val="宋体"/>
        <charset val="134"/>
      </rPr>
      <t>修改</t>
    </r>
    <r>
      <rPr>
        <sz val="12"/>
        <rFont val="Times New Roman"/>
        <charset val="134"/>
      </rPr>
      <t>XXX Xxx Xxx ...</t>
    </r>
  </si>
  <si>
    <r>
      <rPr>
        <sz val="12"/>
        <rFont val="Times New Roman"/>
        <charset val="134"/>
      </rPr>
      <t xml:space="preserve">Name </t>
    </r>
    <r>
      <rPr>
        <sz val="12"/>
        <rFont val="宋体"/>
        <charset val="134"/>
      </rPr>
      <t>作者名</t>
    </r>
  </si>
  <si>
    <t>yyyy.mm.dd</t>
  </si>
  <si>
    <t>……</t>
  </si>
  <si>
    <r>
      <rPr>
        <sz val="12"/>
        <rFont val="Times New Roman"/>
        <charset val="134"/>
      </rPr>
      <t xml:space="preserve">Distribution LIST </t>
    </r>
    <r>
      <rPr>
        <sz val="12"/>
        <rFont val="宋体"/>
        <charset val="134"/>
      </rPr>
      <t>分发记录</t>
    </r>
  </si>
  <si>
    <t>Copy No.</t>
  </si>
  <si>
    <r>
      <rPr>
        <sz val="12"/>
        <rFont val="Times New Roman"/>
        <charset val="134"/>
      </rPr>
      <t xml:space="preserve">Holder's Name &amp; Role  </t>
    </r>
    <r>
      <rPr>
        <sz val="12"/>
        <rFont val="宋体"/>
        <charset val="134"/>
      </rPr>
      <t>持有者和角色</t>
    </r>
  </si>
  <si>
    <r>
      <rPr>
        <sz val="12"/>
        <rFont val="Times New Roman"/>
        <charset val="134"/>
      </rPr>
      <t xml:space="preserve">Issue Date  </t>
    </r>
    <r>
      <rPr>
        <sz val="12"/>
        <rFont val="宋体"/>
        <charset val="134"/>
      </rPr>
      <t>分发日期</t>
    </r>
  </si>
  <si>
    <t>&lt;T.M.B&amp;C.P.M&gt;</t>
  </si>
  <si>
    <t>&lt;Project Manager&gt;</t>
  </si>
  <si>
    <t>&lt;Team members&gt;</t>
  </si>
  <si>
    <t>&lt;Customer Representative&gt;</t>
  </si>
  <si>
    <t>&lt;Others&gt;</t>
  </si>
  <si>
    <t>测试结果分析</t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</si>
  <si>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</si>
  <si>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</si>
  <si>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</si>
  <si>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</si>
  <si>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</si>
  <si>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</si>
  <si>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</si>
  <si>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率</t>
    </r>
  </si>
  <si>
    <t>用例总个数</t>
  </si>
  <si>
    <r>
      <rPr>
        <b/>
        <sz val="12"/>
        <rFont val="Times New Roman"/>
        <charset val="134"/>
      </rPr>
      <t xml:space="preserve">Test Case ID </t>
    </r>
    <r>
      <rPr>
        <b/>
        <sz val="12"/>
        <rFont val="宋体"/>
        <charset val="134"/>
      </rPr>
      <t>测试用例编号</t>
    </r>
  </si>
  <si>
    <r>
      <rPr>
        <b/>
        <sz val="12"/>
        <rFont val="Times New Roman"/>
        <charset val="134"/>
      </rPr>
      <t xml:space="preserve">Test Item </t>
    </r>
    <r>
      <rPr>
        <b/>
        <sz val="12"/>
        <rFont val="宋体"/>
        <charset val="134"/>
      </rPr>
      <t>测试项（即功能模块或函数）</t>
    </r>
  </si>
  <si>
    <r>
      <rPr>
        <b/>
        <sz val="12"/>
        <rFont val="Times New Roman"/>
        <charset val="134"/>
      </rPr>
      <t xml:space="preserve">Test Case Title </t>
    </r>
    <r>
      <rPr>
        <b/>
        <sz val="12"/>
        <rFont val="宋体"/>
        <charset val="134"/>
      </rPr>
      <t>测试用例标题</t>
    </r>
  </si>
  <si>
    <r>
      <rPr>
        <b/>
        <sz val="12"/>
        <rFont val="Times New Roman"/>
        <charset val="134"/>
      </rPr>
      <t>Test Criticality</t>
    </r>
    <r>
      <rPr>
        <b/>
        <sz val="12"/>
        <rFont val="宋体"/>
        <charset val="134"/>
      </rPr>
      <t>重要级别</t>
    </r>
  </si>
  <si>
    <t>是否自动用例</t>
  </si>
  <si>
    <t>是否新增修改用例</t>
  </si>
  <si>
    <r>
      <rPr>
        <b/>
        <sz val="12"/>
        <rFont val="Times New Roman"/>
        <charset val="134"/>
      </rPr>
      <t xml:space="preserve">Pre-condition </t>
    </r>
    <r>
      <rPr>
        <b/>
        <sz val="12"/>
        <rFont val="宋体"/>
        <charset val="134"/>
      </rPr>
      <t>预置条件</t>
    </r>
  </si>
  <si>
    <r>
      <rPr>
        <b/>
        <sz val="12"/>
        <rFont val="Times New Roman"/>
        <charset val="134"/>
      </rPr>
      <t xml:space="preserve">Input </t>
    </r>
    <r>
      <rPr>
        <b/>
        <sz val="12"/>
        <rFont val="宋体"/>
        <charset val="134"/>
      </rPr>
      <t>输入</t>
    </r>
  </si>
  <si>
    <r>
      <rPr>
        <b/>
        <sz val="12"/>
        <rFont val="Times New Roman"/>
        <charset val="134"/>
      </rPr>
      <t xml:space="preserve">Procedure </t>
    </r>
    <r>
      <rPr>
        <b/>
        <sz val="12"/>
        <rFont val="宋体"/>
        <charset val="134"/>
      </rPr>
      <t>操作步骤</t>
    </r>
  </si>
  <si>
    <r>
      <rPr>
        <b/>
        <sz val="12"/>
        <rFont val="Times New Roman"/>
        <charset val="134"/>
      </rPr>
      <t xml:space="preserve">Output </t>
    </r>
    <r>
      <rPr>
        <b/>
        <sz val="12"/>
        <rFont val="宋体"/>
        <charset val="134"/>
      </rPr>
      <t>预期结果</t>
    </r>
  </si>
  <si>
    <r>
      <rPr>
        <b/>
        <sz val="12"/>
        <rFont val="Times New Roman"/>
        <charset val="134"/>
      </rPr>
      <t xml:space="preserve">Result
</t>
    </r>
    <r>
      <rPr>
        <b/>
        <sz val="12"/>
        <rFont val="宋体"/>
        <charset val="134"/>
      </rPr>
      <t>实际结果</t>
    </r>
  </si>
  <si>
    <r>
      <rPr>
        <b/>
        <sz val="12"/>
        <rFont val="Times New Roman"/>
        <charset val="134"/>
      </rPr>
      <t xml:space="preserve">Status
</t>
    </r>
    <r>
      <rPr>
        <b/>
        <sz val="12"/>
        <rFont val="宋体"/>
        <charset val="134"/>
      </rPr>
      <t>是否通过</t>
    </r>
  </si>
  <si>
    <r>
      <rPr>
        <b/>
        <sz val="12"/>
        <rFont val="Times New Roman"/>
        <charset val="134"/>
      </rPr>
      <t xml:space="preserve">Remark </t>
    </r>
    <r>
      <rPr>
        <b/>
        <sz val="12"/>
        <rFont val="宋体"/>
        <charset val="134"/>
      </rPr>
      <t>备注</t>
    </r>
    <r>
      <rPr>
        <b/>
        <sz val="12"/>
        <color indexed="10"/>
        <rFont val="宋体"/>
        <charset val="134"/>
      </rPr>
      <t>（在此描述使用的测试方法）</t>
    </r>
  </si>
  <si>
    <t>M2-AI-001</t>
  </si>
  <si>
    <t>VGGT 输出整体（深度图 + npz 点云）</t>
  </si>
  <si>
    <t>基准场景自洽性基线测量（9 帧）</t>
  </si>
  <si>
    <t>高</t>
  </si>
  <si>
    <t>可自动化</t>
  </si>
  <si>
    <t>新增</t>
  </si>
  <si>
    <t>Pytorch_Vggt 环境可用（Python 3.10.20 + PyTorch 2.8.0+cu128）；权重 E:\0_work\1shijian\model.pt（5.02 GB）就位；NVIDIA RTX 3070 Laptop（8 GB 显存）；已归档 vggt_input/ 下对应场景图像。</t>
  </si>
  <si>
    <t>input-dir=vggt_input/002_computer（9 帧横构图教室场景）；conf_thres=3.0；prediction-modes=深度图与相机分支,点云图分支</t>
  </si>
  <si>
    <t>1. 执行 run_vggt_inference.py --input-dir vggt_input/002_computer --output-dir vggt_output/002_computer。
2. 执行 metrics.py vggt_output/002_computer/predictions.npz --conf-thres 3.0。
3. 记录 G1–G4 指标与加载/前馈耗时、峰值显存。</t>
  </si>
  <si>
    <t>四项自洽性指标均可统计；depth/ 下生成与帧数一致的深度图；predictions.npz 可读；两个预测分支 GLB 均为合法 glTF 且可加载。</t>
  </si>
  <si>
    <t>G1 相对误差 1.585e-3；G2 平均重投影像素误差 2.171 px（&lt;5 px 占 99.45%）；G3 深度置信均值 8.125、最大值 16.993；G4 NCC 0.8729。模型加载 10.26 s、前馈 16.62 s、端到端 40.3 s、峰值显存 8.467 GB；深度图 9/9 张。</t>
  </si>
  <si>
    <t>OK</t>
  </si>
  <si>
    <t>场景法：基准场景默认参数基线</t>
  </si>
  <si>
    <t>M2-AI-002</t>
  </si>
  <si>
    <t>帧数减少至 5 帧的自洽性退化</t>
  </si>
  <si>
    <t>中</t>
  </si>
  <si>
    <t>input-dir=002_computer 前 5 帧子集；conf_thres=3.0</t>
  </si>
  <si>
    <t>1. 取 002_computer 前 5 帧建立输入目录。
2. 执行推理与指标计算。
3. 与 9 帧基线对比。</t>
  </si>
  <si>
    <t>各项指标相对基线退化，但仍可统计。</t>
  </si>
  <si>
    <t>G1 相对误差 2.093e-3；G2 2.236 px；G3 深度置信均值 6.965、低置信占比 21.64%；G4 NCC 0.9153；峰值显存 7.662 GB。</t>
  </si>
  <si>
    <t>边界值：帧数下界方向</t>
  </si>
  <si>
    <t>POK</t>
  </si>
  <si>
    <t>M2-AI-003</t>
  </si>
  <si>
    <t>帧数减少至 2 帧的自洽性退化</t>
  </si>
  <si>
    <t>input-dir=002_computer 前 2 帧子集；conf_thres=3.0</t>
  </si>
  <si>
    <t>1. 取 002_computer 前 2 帧建立输入目录。
2. 执行推理与指标计算。
3. 与 5 帧、9 帧结果对比。</t>
  </si>
  <si>
    <t>各项指标进一步退化。</t>
  </si>
  <si>
    <t>G1 相对误差 3.062e-3；G2 2.710 px；G3 深度置信均值 5.092、低置信占比 23.78%；G4 NCC 0.9472；峰值显存 6.997 GB。</t>
  </si>
  <si>
    <t>NG</t>
  </si>
  <si>
    <t>M2-AI-004</t>
  </si>
  <si>
    <t>单帧输入时光度一致性指标应不可用</t>
  </si>
  <si>
    <t>input-dir=002_computer 第 1 帧；conf_thres=3.0</t>
  </si>
  <si>
    <t>1. 仅取 002_computer 第 1 帧建立输入目录。
2. 执行推理与指标计算。
3. 检查 G4 是否报告不可用而非给出错误数值。</t>
  </si>
  <si>
    <t>G4 因缺少帧对而报告不可用；G1–G3 仍可统计。</t>
  </si>
  <si>
    <t>G4 报告不可用（无有效帧对）；G1 相对误差 4.130e-3；G2 2.630 px；G3 深度置信均值 2.928、低置信占比 48.42%；峰值显存 6.869 GB。</t>
  </si>
  <si>
    <t>边界值：帧数最小边界 N=1</t>
  </si>
  <si>
    <t>NT</t>
  </si>
  <si>
    <t>M2-AI-005</t>
  </si>
  <si>
    <t>帧数—指标单调性检验（1→2→5→9）</t>
  </si>
  <si>
    <t>复用 M2-AI-001 至 M2-AI-004 四档运行结果</t>
  </si>
  <si>
    <t>1. 汇总 1、2、5、9 帧四档的 G1 相对误差与 G3 深度置信均值。
2. 检验指标是否随帧数单调改善。</t>
  </si>
  <si>
    <t>帧数增加时 G1 相对误差单调下降、深度置信均值单调上升。</t>
  </si>
  <si>
    <t>G1 相对误差 4.130e-3 → 3.062e-3 → 2.093e-3 → 1.585e-3，严格单调下降；深度置信均值 2.928 → 5.092 → 6.965 → 8.125，严格单调上升；低置信占比 48.42% → 23.78% → 21.64% → 21.90%。</t>
  </si>
  <si>
    <t>场景法：趋势验证</t>
  </si>
  <si>
    <t>M2-AI-006</t>
  </si>
  <si>
    <t>分辨率降为 0.5 倍的鲁棒性</t>
  </si>
  <si>
    <t>input-dir=002_computer 9 帧等比缩放到 0.5 倍；conf_thres=3.0</t>
  </si>
  <si>
    <t>1. 将 9 帧图像等比缩放到 0.5 倍并另存为输入目录。
2. 执行推理与指标计算。
3. 与基线对比。</t>
  </si>
  <si>
    <t>G2、G4 相对基线出现退化。</t>
  </si>
  <si>
    <t>结论与预期相反：未见显著退化。G1 相对误差 1.579e-3；G2 2.153 px；G4 NCC 0.8729，与基线同量级。</t>
  </si>
  <si>
    <t>错误推测法：分辨率扰动</t>
  </si>
  <si>
    <t>M2-AI-007</t>
  </si>
  <si>
    <t>高斯噪声 σ=10 的鲁棒性</t>
  </si>
  <si>
    <t>input-dir=002_computer 9 帧叠加均值 0、标准差 10 的高斯噪声（0–255 尺度，随机种子 20260911）；conf_thres=3.0</t>
  </si>
  <si>
    <t>1. 对 9 帧图像逐像素叠加高斯噪声并另存为输入目录。
2. 执行推理与指标计算。
3. 与基线对比。</t>
  </si>
  <si>
    <t>结论与预期相反：未见显著退化。G1 相对误差 1.766e-3；G2 2.105 px；G4 NCC 0.8759，与基线同量级。</t>
  </si>
  <si>
    <t>错误推测法：像素噪声扰动</t>
  </si>
  <si>
    <t>M2-AI-008</t>
  </si>
  <si>
    <t>随机遮挡 25% 面积的鲁棒性</t>
  </si>
  <si>
    <t>input-dir=002_computer 9 帧随机贴实心矩形遮挡，累计面积约 25%（随机种子 20260911）；conf_thres=3.0</t>
  </si>
  <si>
    <t>1. 对 9 帧图像施加约 25% 面积的随机遮挡并另存为输入目录。
2. 执行推理与指标计算。
3. 与基线对比。</t>
  </si>
  <si>
    <t>G1、G4 出现退化，低置信像素占比上升。</t>
  </si>
  <si>
    <t>发现显著退化：G4 NCC 由 0.8729 降至 0.5536（−36.6%）；低置信占比由 21.90% 升至 40.19%（+83.5%）；深度置信均值由 8.125 降至 5.333（−34.4%）；G1 相对误差 1.841e-3，变化不大。</t>
  </si>
  <si>
    <t>错误推测法：遮挡扰动</t>
  </si>
  <si>
    <t>M2-AI-009</t>
  </si>
  <si>
    <t>重复运行确定性检验</t>
  </si>
  <si>
    <t>Pytorch_Vggt 环境可用；权重 model.pt 就位；已保留基线运行的 predictions.npz；RTX 3070 Laptop（8 GB 显存）。</t>
  </si>
  <si>
    <t>input-dir=002_computer 9 帧（与基线完全相同）</t>
  </si>
  <si>
    <t>1. 用相同输入、独立进程重新执行一次推理。
2. 逐位比较两次输出的 depth、world_points、extrinsic、intrinsic。</t>
  </si>
  <si>
    <t>关键输出逐位一致。</t>
  </si>
  <si>
    <t>depth、world_points、extrinsic、intrinsic 四个字段的 max_abs_diff 与 mean_abs_diff 均为 0.0，完全逐位一致。</t>
  </si>
  <si>
    <t>场景法：可复现性</t>
  </si>
  <si>
    <t>M2-AI-010</t>
  </si>
  <si>
    <t>depth 深度图输出与 depth_conf 置信度</t>
  </si>
  <si>
    <t>竖构图近景场景在默认置信阈值下的可用性</t>
  </si>
  <si>
    <t>Pytorch_Vggt 环境可用（Python 3.10.20 + PyTorch 2.8.0+cu128）；权重 E:\0_work\1shijian\model.pt（5.02 GB）就位；NVIDIA RTX 3070 Laptop（8 GB 显存）；已归档 vggt_input/ 下对应场景图像。vggt_input/001_watercup 含 8 张 3072×4096 竖构图图像。</t>
  </si>
  <si>
    <t>input-dir=vggt_input/001_watercup（8 帧竖构图水杯近景）；conf_thres=3.0</t>
  </si>
  <si>
    <t>1. 执行 run_vggt_inference.py --input-dir vggt_input/001_watercup。
2. 以默认阈值执行 metrics.py --conf-thres 3.0。
3. 检查四项指标是否可统计。</t>
  </si>
  <si>
    <t>四项指标与基线同量级，可正常统计。</t>
  </si>
  <si>
    <t>失败。深度置信最大值仅 2.187，低于默认阈值 3.0，导致 G1/G2/G4 全部因“有效像素为 0”被跳过，且程序未给出任何降级提示。</t>
  </si>
  <si>
    <t>等价类：近景特写 / 低纹理 / 小基线场景</t>
  </si>
  <si>
    <t>M2-AI-011</t>
  </si>
  <si>
    <t>竖构图场景放宽置信阈值后的指标测量</t>
  </si>
  <si>
    <t>Pytorch_Vggt 环境可用；已取得 vggt_input/001_watercup 的 predictions.npz；指标计算不需要 GPU。</t>
  </si>
  <si>
    <t>001_watercup 的 predictions.npz；conf_thres=1.0</t>
  </si>
  <si>
    <t>1. 对同一 npz 执行 metrics.py --conf-thres 1.0。
2. 记录 G1–G4。
3. 与 002_computer 基线对比。</t>
  </si>
  <si>
    <t>指标可统计，数值与基线同量级。</t>
  </si>
  <si>
    <t>G1 相对误差 2.973e-2（基线的 18.8 倍）；G2 平均重投影像素误差 41.447 px（19.1 倍）；G3 深度置信均值 1.118；G4 NCC 0.4919（基线 0.8729）。</t>
  </si>
  <si>
    <t>边界值：置信度阈值下探</t>
  </si>
  <si>
    <t>M2-AI-012</t>
  </si>
  <si>
    <t>排除裁切影响：竖构图补白成正方形后重测</t>
  </si>
  <si>
    <t>Pytorch_Vggt 环境可用（Python 3.10.20 + PyTorch 2.8.0+cu128）；权重 E:\0_work\1shijian\model.pt（5.02 GB）就位；NVIDIA RTX 3070 Laptop（8 GB 显存）；已归档 vggt_input/ 下对应场景图像。vggt_input/001_watercup 原始 8 张图像。</t>
  </si>
  <si>
    <t>001_watercup 8 帧居中补白到 4096×4096 正方形；conf_thres=1.0</t>
  </si>
  <si>
    <t>1. 将每张图居中补白成正方形，使 crop 预处理不再发生高度裁切。
2. 执行推理与指标计算。
3. 与原竖构图结果对比。</t>
  </si>
  <si>
    <t>若预处理裁切是退化主因，则指标应显著改善。</t>
  </si>
  <si>
    <t>假说被否证：指标未改善。G1 相对误差 3.629e-2；G2 39.237 px；深度置信均值 1.051；G4 NCC 0.6465，甚至略差于原结果。结论：退化由场景本身（近景、低纹理、小基线）导致，裁切不是主因。</t>
  </si>
  <si>
    <t>错误推测法：控制变量定位退化成因</t>
  </si>
  <si>
    <t>M2-AI-013</t>
  </si>
  <si>
    <t>run_vggt_inference.py 推理入口（输入校验）</t>
  </si>
  <si>
    <t>空输入目录的异常处理</t>
  </si>
  <si>
    <t>Pytorch_Vggt 环境可用；权重 model.pt 就位。</t>
  </si>
  <si>
    <t>不含任何图像的空目录（0 张图像）</t>
  </si>
  <si>
    <t>1. 执行 run_vggt_inference.py --input-dir &lt;空目录&gt; --output-dir &lt;输出目录&gt;。
2. 观察报错信息与退出码。
3. 检查是否创建了输出目录。</t>
  </si>
  <si>
    <t>给出明确的中文错误提示，以非零退出码结束，不产生垃圾产物。</t>
  </si>
  <si>
    <t>输出“[错误] 输入目录中没有图像: &lt;路径&gt;”，退出码 1，未创建输出目录。</t>
  </si>
  <si>
    <t>错误推测法：异常输入</t>
  </si>
  <si>
    <t>M2-AI-014</t>
  </si>
  <si>
    <t>输入目录不存在的异常处理</t>
  </si>
  <si>
    <t>不存在的输入目录路径</t>
  </si>
  <si>
    <t>1. 执行 run_vggt_inference.py --input-dir &lt;不存在的路径&gt; --output-dir &lt;输出目录&gt;。
2. 观察报错信息与退出码。</t>
  </si>
  <si>
    <t>给出明确的中文错误提示，以非零退出码结束。</t>
  </si>
  <si>
    <t>输出“[错误] 输入目录不存在: &lt;路径&gt;”，退出码 1。</t>
  </si>
  <si>
    <t>M2-AI-015</t>
  </si>
  <si>
    <t>损坏图像文件的异常处理</t>
  </si>
  <si>
    <t>内容为 not an image、扩展名为 broken.jpg 的损坏文件（1 个文件）</t>
  </si>
  <si>
    <t>1. 新建目录并放入损坏的 broken.jpg。
2. 执行 run_vggt_inference.py --input-dir &lt;该目录&gt;。
3. 观察报错信息、退出码与残留产物。</t>
  </si>
  <si>
    <t>给出明确的中文错误提示，以非零退出码结束，不残留半成品产物。</t>
  </si>
  <si>
    <t>失败。抛出未捕获的 PIL.UnidentifiedImageError 原始堆栈，退出码 1，且残留半成品输出目录（images/ 已写入、无 predictions.npz）。定位 vggt/utils/load_fn.py:140 的 Image.open 未做异常处理，登记为缺陷 DEF-M2-001。</t>
  </si>
  <si>
    <r>
      <rPr>
        <b/>
        <sz val="12"/>
        <rFont val="Times New Roman"/>
        <charset val="134"/>
      </rPr>
      <t xml:space="preserve">Introduction </t>
    </r>
    <r>
      <rPr>
        <b/>
        <sz val="12"/>
        <rFont val="宋体"/>
        <charset val="134"/>
      </rPr>
      <t>使用说明</t>
    </r>
  </si>
  <si>
    <r>
      <rPr>
        <sz val="11"/>
        <rFont val="Times New Roman"/>
        <charset val="134"/>
      </rPr>
      <t xml:space="preserve">There are two sheets in the Test Case Form. One is "Information", the other is "Test Cases" sheet. </t>
    </r>
    <r>
      <rPr>
        <sz val="11"/>
        <rFont val="宋体"/>
        <charset val="134"/>
      </rPr>
      <t>测试用例表包含两个表单：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基本信息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表单。</t>
    </r>
  </si>
  <si>
    <r>
      <rPr>
        <sz val="11"/>
        <rFont val="Times New Roman"/>
        <charset val="134"/>
      </rPr>
      <t xml:space="preserve">The test cases can be multilevel. </t>
    </r>
    <r>
      <rPr>
        <sz val="11"/>
        <rFont val="宋体"/>
        <charset val="134"/>
      </rPr>
      <t>本测试用例模板支持分层。</t>
    </r>
  </si>
  <si>
    <r>
      <rPr>
        <sz val="11"/>
        <rFont val="Times New Roman"/>
        <charset val="134"/>
      </rPr>
      <t xml:space="preserve">If project need multilevel, they can add column beside "test item" and "test case" column at "Test Cases" sheet. </t>
    </r>
    <r>
      <rPr>
        <sz val="11"/>
        <rFont val="宋体"/>
        <charset val="134"/>
      </rPr>
      <t>项目组如果需要多级分层，可在</t>
    </r>
    <r>
      <rPr>
        <sz val="11"/>
        <rFont val="Times New Roman"/>
        <charset val="134"/>
      </rPr>
      <t>“Test cases”</t>
    </r>
    <r>
      <rPr>
        <sz val="11"/>
        <rFont val="宋体"/>
        <charset val="134"/>
      </rPr>
      <t>页面中的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之间增加列。例如增加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测试子项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</si>
  <si>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 xml:space="preserve">The number of test cases is low level test cases' number, it is automatic calculate. </t>
    </r>
    <r>
      <rPr>
        <sz val="11"/>
        <rFont val="宋体"/>
        <charset val="134"/>
      </rPr>
      <t>测试用例的统计使用小测试用例统计，自动统计。</t>
    </r>
  </si>
  <si>
    <r>
      <rPr>
        <sz val="11"/>
        <rFont val="Times New Roman"/>
        <charset val="134"/>
      </rPr>
      <t xml:space="preserve">The Test Case Form should not use as test record. </t>
    </r>
    <r>
      <rPr>
        <sz val="11"/>
        <rFont val="宋体"/>
        <charset val="134"/>
      </rPr>
      <t>本测试用例表单不能作为测试记录使用。</t>
    </r>
  </si>
  <si>
    <r>
      <rPr>
        <sz val="11"/>
        <rFont val="Times New Roman"/>
        <charset val="134"/>
      </rPr>
      <t xml:space="preserve">Test cases ID shall follow the ID rules defined in Test strategy. For example,"Project ID-UT(IT,ST)-nnn". </t>
    </r>
    <r>
      <rPr>
        <sz val="11"/>
        <rFont val="宋体"/>
        <charset val="134"/>
      </rPr>
      <t>测试用例的编号应符合测试策略中对编号规则的要求。例如，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项目编码</t>
    </r>
    <r>
      <rPr>
        <sz val="11"/>
        <rFont val="Times New Roman"/>
        <charset val="134"/>
      </rPr>
      <t xml:space="preserve"> -UT</t>
    </r>
    <r>
      <rPr>
        <sz val="11"/>
        <rFont val="宋体"/>
        <charset val="134"/>
      </rPr>
      <t>（或</t>
    </r>
    <r>
      <rPr>
        <sz val="11"/>
        <rFont val="Times New Roman"/>
        <charset val="134"/>
      </rPr>
      <t>IT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ST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-nnn”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</si>
  <si>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Test Criticality</t>
    </r>
    <r>
      <rPr>
        <sz val="11"/>
        <rFont val="宋体"/>
        <charset val="134"/>
      </rPr>
      <t>重要级别定义为：</t>
    </r>
    <r>
      <rPr>
        <sz val="11"/>
        <rFont val="Times New Roman"/>
        <charset val="134"/>
      </rPr>
      <t>Specify High/Medium/Low.</t>
    </r>
    <r>
      <rPr>
        <sz val="11"/>
        <rFont val="宋体"/>
        <charset val="134"/>
      </rPr>
      <t>描述测试用例的重要级别：高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中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低</t>
    </r>
    <r>
      <rPr>
        <sz val="11"/>
        <rFont val="Times New Roman"/>
        <charset val="134"/>
      </rPr>
      <t>.</t>
    </r>
  </si>
  <si>
    <r>
      <rPr>
        <sz val="11"/>
        <rFont val="Times New Roman"/>
        <charset val="134"/>
      </rPr>
      <t xml:space="preserve">Output </t>
    </r>
    <r>
      <rPr>
        <sz val="11"/>
        <rFont val="宋体"/>
        <charset val="134"/>
      </rPr>
      <t>预期输出：</t>
    </r>
    <r>
      <rPr>
        <sz val="11"/>
        <rFont val="Times New Roman"/>
        <charset val="134"/>
      </rPr>
      <t>Provide the expected result after performing the test</t>
    </r>
    <r>
      <rPr>
        <sz val="11"/>
        <rFont val="宋体"/>
        <charset val="134"/>
      </rPr>
      <t>提供测试执行的预期结果</t>
    </r>
  </si>
  <si>
    <r>
      <rPr>
        <sz val="11"/>
        <rFont val="Times New Roman"/>
        <charset val="134"/>
      </rPr>
      <t>R</t>
    </r>
    <r>
      <rPr>
        <sz val="12"/>
        <rFont val="Times New Roman"/>
        <charset val="134"/>
      </rPr>
      <t xml:space="preserve">esult </t>
    </r>
    <r>
      <rPr>
        <sz val="12"/>
        <rFont val="宋体"/>
        <charset val="134"/>
      </rPr>
      <t>实际输出</t>
    </r>
    <r>
      <rPr>
        <sz val="12"/>
        <rFont val="Times New Roman"/>
        <charset val="134"/>
      </rPr>
      <t>:Provide the result after performing the test</t>
    </r>
    <r>
      <rPr>
        <sz val="12"/>
        <rFont val="宋体"/>
        <charset val="134"/>
      </rPr>
      <t xml:space="preserve">提供测试结果
</t>
    </r>
    <r>
      <rPr>
        <sz val="12"/>
        <rFont val="Times New Roman"/>
        <charset val="134"/>
      </rPr>
      <t>OK:</t>
    </r>
    <r>
      <rPr>
        <sz val="12"/>
        <rFont val="宋体"/>
        <charset val="134"/>
      </rPr>
      <t xml:space="preserve">测试通过
</t>
    </r>
    <r>
      <rPr>
        <sz val="12"/>
        <rFont val="Times New Roman"/>
        <charset val="134"/>
      </rPr>
      <t>POK:</t>
    </r>
    <r>
      <rPr>
        <sz val="12"/>
        <rFont val="宋体"/>
        <charset val="134"/>
      </rPr>
      <t xml:space="preserve">部分通过
</t>
    </r>
    <r>
      <rPr>
        <sz val="12"/>
        <rFont val="Times New Roman"/>
        <charset val="134"/>
      </rPr>
      <t>NG:</t>
    </r>
    <r>
      <rPr>
        <sz val="12"/>
        <rFont val="宋体"/>
        <charset val="134"/>
      </rPr>
      <t xml:space="preserve">不能通过
</t>
    </r>
    <r>
      <rPr>
        <sz val="12"/>
        <rFont val="Times New Roman"/>
        <charset val="134"/>
      </rPr>
      <t>NT:</t>
    </r>
    <r>
      <rPr>
        <sz val="12"/>
        <rFont val="宋体"/>
        <charset val="134"/>
      </rPr>
      <t>测试用例错误</t>
    </r>
    <r>
      <rPr>
        <sz val="12"/>
        <rFont val="Times New Roman"/>
        <charset val="134"/>
      </rPr>
      <t>,</t>
    </r>
    <r>
      <rPr>
        <sz val="12"/>
        <rFont val="宋体"/>
        <charset val="134"/>
      </rPr>
      <t>测试无法执行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</si>
</sst>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3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2"/>
      <color indexed="10"/>
      <name val="宋体"/>
      <charset val="134"/>
    </font>
    <font>
      <b/>
      <sz val="18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1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20" applyNumberFormat="0" applyAlignment="0" applyProtection="0">
      <alignment vertical="center"/>
    </xf>
    <xf numFmtId="0" fontId="20" fillId="9" borderId="21" applyNumberFormat="0" applyAlignment="0" applyProtection="0">
      <alignment vertical="center"/>
    </xf>
    <xf numFmtId="0" fontId="21" fillId="9" borderId="20" applyNumberFormat="0" applyAlignment="0" applyProtection="0">
      <alignment vertical="center"/>
    </xf>
    <xf numFmtId="0" fontId="22" fillId="10" borderId="22" applyNumberFormat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55">
    <xf numFmtId="0" fontId="0" fillId="0" borderId="0" xfId="0" applyAlignment="1">
      <alignment vertical="center"/>
    </xf>
    <xf numFmtId="0" fontId="1" fillId="0" borderId="0" xfId="0" applyNumberFormat="1" applyFont="1" applyFill="1" applyBorder="1"/>
    <xf numFmtId="0" fontId="2" fillId="2" borderId="1" xfId="0" applyFont="1" applyFill="1" applyBorder="1" applyAlignment="1">
      <alignment horizontal="centerContinuous"/>
    </xf>
    <xf numFmtId="0" fontId="0" fillId="0" borderId="2" xfId="0" applyBorder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4" fillId="3" borderId="5" xfId="0" applyNumberFormat="1" applyFont="1" applyFill="1" applyBorder="1" applyProtection="1">
      <protection locked="0"/>
    </xf>
    <xf numFmtId="0" fontId="4" fillId="0" borderId="0" xfId="0" applyNumberFormat="1" applyFont="1" applyFill="1" applyBorder="1"/>
    <xf numFmtId="0" fontId="2" fillId="4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" fillId="3" borderId="5" xfId="0" applyFont="1" applyFill="1" applyBorder="1" applyAlignment="1" applyProtection="1">
      <alignment wrapText="1"/>
      <protection locked="0"/>
    </xf>
    <xf numFmtId="0" fontId="4" fillId="0" borderId="0" xfId="0" applyFont="1"/>
    <xf numFmtId="0" fontId="4" fillId="3" borderId="0" xfId="0" applyFill="1"/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4" fillId="2" borderId="1" xfId="0" applyFont="1" applyFill="1" applyBorder="1" applyAlignment="1">
      <alignment horizontal="centerContinuous"/>
    </xf>
    <xf numFmtId="0" fontId="4" fillId="0" borderId="2" xfId="0" applyFont="1" applyBorder="1"/>
    <xf numFmtId="0" fontId="4" fillId="3" borderId="1" xfId="0" applyFont="1" applyFill="1" applyBorder="1" applyAlignment="1" applyProtection="1">
      <alignment horizontal="centerContinuous"/>
      <protection locked="0"/>
    </xf>
    <xf numFmtId="0" fontId="4" fillId="0" borderId="6" xfId="0" applyFont="1" applyBorder="1"/>
    <xf numFmtId="0" fontId="4" fillId="5" borderId="1" xfId="0" applyFont="1" applyFill="1" applyBorder="1" applyAlignment="1">
      <alignment horizontal="center"/>
    </xf>
    <xf numFmtId="0" fontId="7" fillId="3" borderId="1" xfId="0" applyFont="1" applyFill="1" applyBorder="1" applyAlignment="1" applyProtection="1">
      <alignment horizontal="centerContinuous"/>
      <protection locked="0"/>
    </xf>
    <xf numFmtId="0" fontId="8" fillId="3" borderId="1" xfId="0" applyFont="1" applyFill="1" applyBorder="1" applyAlignment="1" applyProtection="1">
      <alignment horizontal="centerContinuous"/>
      <protection locked="0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Continuous" wrapText="1"/>
    </xf>
    <xf numFmtId="176" fontId="4" fillId="3" borderId="1" xfId="0" applyNumberFormat="1" applyFont="1" applyFill="1" applyBorder="1" applyAlignment="1" applyProtection="1">
      <alignment horizontal="centerContinuous"/>
      <protection locked="0"/>
    </xf>
    <xf numFmtId="49" fontId="4" fillId="3" borderId="1" xfId="0" applyNumberFormat="1" applyFont="1" applyFill="1" applyBorder="1" applyAlignment="1" applyProtection="1">
      <alignment horizontal="centerContinuous"/>
      <protection locked="0"/>
    </xf>
    <xf numFmtId="177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Font="1" applyFill="1" applyBorder="1" applyAlignment="1">
      <alignment horizontal="center"/>
    </xf>
    <xf numFmtId="0" fontId="4" fillId="3" borderId="7" xfId="0" applyFont="1" applyFill="1" applyBorder="1" applyAlignment="1" applyProtection="1">
      <alignment horizontal="centerContinuous"/>
      <protection locked="0"/>
    </xf>
    <xf numFmtId="0" fontId="4" fillId="3" borderId="8" xfId="0" applyFont="1" applyFill="1" applyBorder="1" applyAlignment="1" applyProtection="1">
      <alignment horizontal="centerContinuous"/>
      <protection locked="0"/>
    </xf>
    <xf numFmtId="176" fontId="4" fillId="3" borderId="8" xfId="0" applyNumberFormat="1" applyFont="1" applyFill="1" applyBorder="1" applyAlignment="1" applyProtection="1">
      <alignment horizontal="centerContinuous"/>
      <protection locked="0"/>
    </xf>
    <xf numFmtId="176" fontId="4" fillId="3" borderId="9" xfId="0" applyNumberFormat="1" applyFont="1" applyFill="1" applyBorder="1" applyAlignment="1" applyProtection="1">
      <alignment horizontal="centerContinuous"/>
      <protection locked="0"/>
    </xf>
    <xf numFmtId="0" fontId="4" fillId="6" borderId="0" xfId="0" applyFont="1" applyFill="1" applyAlignment="1" applyProtection="1">
      <alignment horizontal="centerContinuous"/>
      <protection locked="0"/>
    </xf>
    <xf numFmtId="176" fontId="4" fillId="6" borderId="0" xfId="0" applyNumberFormat="1" applyFont="1" applyFill="1" applyAlignment="1" applyProtection="1">
      <alignment horizontal="centerContinuous"/>
      <protection locked="0"/>
    </xf>
    <xf numFmtId="0" fontId="1" fillId="4" borderId="7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5" borderId="5" xfId="0" applyFont="1" applyFill="1" applyBorder="1"/>
    <xf numFmtId="10" fontId="4" fillId="5" borderId="5" xfId="0" applyNumberFormat="1" applyFont="1" applyFill="1" applyBorder="1"/>
    <xf numFmtId="0" fontId="4" fillId="4" borderId="12" xfId="0" applyFont="1" applyFill="1" applyBorder="1" applyAlignment="1">
      <alignment horizontal="center"/>
    </xf>
    <xf numFmtId="0" fontId="4" fillId="5" borderId="12" xfId="0" applyFont="1" applyFill="1" applyBorder="1"/>
    <xf numFmtId="10" fontId="4" fillId="5" borderId="12" xfId="0" applyNumberFormat="1" applyFont="1" applyFill="1" applyBorder="1"/>
    <xf numFmtId="0" fontId="9" fillId="6" borderId="7" xfId="0" applyFont="1" applyFill="1" applyBorder="1" applyAlignment="1">
      <alignment horizontal="center"/>
    </xf>
    <xf numFmtId="0" fontId="9" fillId="6" borderId="10" xfId="0" applyFont="1" applyFill="1" applyBorder="1"/>
    <xf numFmtId="0" fontId="9" fillId="6" borderId="10" xfId="0" applyFont="1" applyFill="1" applyBorder="1" applyAlignment="1">
      <alignment horizontal="center"/>
    </xf>
    <xf numFmtId="10" fontId="9" fillId="6" borderId="11" xfId="0" applyNumberFormat="1" applyFont="1" applyFill="1" applyBorder="1"/>
    <xf numFmtId="0" fontId="1" fillId="4" borderId="13" xfId="0" applyFont="1" applyFill="1" applyBorder="1"/>
    <xf numFmtId="0" fontId="4" fillId="5" borderId="14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9"/>
          <c:y val="0.0387609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title>
    <c:autoTitleDeleted val="0"/>
    <c:view3D>
      <c:rotX val="25"/>
      <c:rotY val="0"/>
      <c:depthPercent val="100"/>
      <c:rAngAx val="0"/>
      <c:hPercent val="5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833361"/>
          <c:y val="0.329469"/>
          <c:w val="0.653667"/>
          <c:h val="0.472885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0.866666666666667</c:v>
                </c:pt>
                <c:pt idx="1">
                  <c:v>0</c:v>
                </c:pt>
                <c:pt idx="2">
                  <c:v>0.133333333333333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9923"/>
          <c:y val="0.387611"/>
          <c:w val="0.979199"/>
          <c:h val="0.74808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e5bcf5aa-456d-42f5-9ce8-90b71b6ab3b7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>
      <xdr:nvGraphicFramePr>
        <xdr:cNvPr id="2" name="图表 1" hidden="1"/>
        <xdr:cNvGraphicFramePr/>
      </xdr:nvGraphicFramePr>
      <xdr:xfrm>
        <a:off x="3740150" y="6811010"/>
        <a:ext cx="3510280" cy="2422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3" name="Picture 4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144145" y="104775"/>
          <a:ext cx="2718435" cy="3702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L43"/>
  <sheetViews>
    <sheetView showGridLines="0" showOutlineSymbols="0" zoomScale="87" zoomScaleNormal="87" topLeftCell="A7" workbookViewId="0">
      <selection activeCell="A1" sqref="A1"/>
    </sheetView>
  </sheetViews>
  <sheetFormatPr defaultColWidth="11.6307692307692" defaultRowHeight="15.5"/>
  <cols>
    <col min="1" max="1" width="1.63076923076923" style="9" customWidth="1"/>
    <col min="2" max="13" width="10.6307692307692" style="9" customWidth="1"/>
    <col min="14" max="15" width="7.63076923076923" style="9" customWidth="1"/>
    <col min="16" max="26" width="11.6307692307692" style="9"/>
  </cols>
  <sheetData>
    <row r="1" ht="9.9" customHeight="1"/>
    <row r="2" ht="23" spans="2:12">
      <c r="B2" s="16" t="s">
        <v>0</v>
      </c>
      <c r="C2" s="16"/>
      <c r="D2" s="17"/>
      <c r="E2" s="17"/>
      <c r="F2" s="18"/>
      <c r="G2" s="18"/>
      <c r="H2" s="18"/>
      <c r="I2" s="18"/>
      <c r="J2" s="18"/>
      <c r="K2" s="18"/>
    </row>
    <row r="3" spans="2:12">
      <c r="B3" s="17"/>
      <c r="C3" s="17"/>
      <c r="D3" s="17"/>
      <c r="E3" s="18"/>
      <c r="F3" s="18"/>
      <c r="G3" s="18"/>
      <c r="H3" s="18"/>
      <c r="I3" s="18"/>
      <c r="J3" s="18"/>
      <c r="K3" s="18"/>
    </row>
    <row r="4" spans="2:12">
      <c r="B4" s="17"/>
      <c r="C4" s="17"/>
      <c r="D4" s="17"/>
      <c r="E4" s="17"/>
      <c r="F4" s="18"/>
      <c r="G4" s="18"/>
      <c r="H4" s="18"/>
      <c r="I4" s="18"/>
      <c r="J4" s="18"/>
      <c r="K4" s="18"/>
    </row>
    <row r="5" ht="3.9" customHeight="1"/>
    <row r="6" spans="2:12">
      <c r="B6" s="19" t="s">
        <v>1</v>
      </c>
      <c r="C6" s="19"/>
      <c r="D6" s="19"/>
      <c r="E6" s="19"/>
      <c r="F6" s="19"/>
      <c r="G6" s="19"/>
      <c r="H6" s="19"/>
      <c r="I6" s="19"/>
      <c r="J6" s="19"/>
      <c r="K6" s="19"/>
      <c r="L6" s="20"/>
    </row>
    <row r="7" spans="2:12">
      <c r="B7" s="19" t="s">
        <v>2</v>
      </c>
      <c r="C7" s="19"/>
      <c r="D7" s="19"/>
      <c r="E7" s="21" t="s">
        <v>3</v>
      </c>
      <c r="F7" s="21"/>
      <c r="G7" s="19" t="s">
        <v>4</v>
      </c>
      <c r="H7" s="19"/>
      <c r="I7" s="19"/>
      <c r="J7" s="21" t="s">
        <v>5</v>
      </c>
      <c r="K7" s="21"/>
      <c r="L7" s="20"/>
    </row>
    <row r="8" spans="2:12">
      <c r="B8" s="19" t="s">
        <v>6</v>
      </c>
      <c r="C8" s="19"/>
      <c r="D8" s="19"/>
      <c r="E8" s="21" t="s">
        <v>7</v>
      </c>
      <c r="F8" s="21"/>
      <c r="G8" s="19" t="s">
        <v>8</v>
      </c>
      <c r="H8" s="19"/>
      <c r="I8" s="19"/>
      <c r="J8" s="21" t="s">
        <v>9</v>
      </c>
      <c r="K8" s="21"/>
      <c r="L8" s="20"/>
    </row>
    <row r="9" spans="2:12">
      <c r="B9" s="19" t="s">
        <v>10</v>
      </c>
      <c r="C9" s="19"/>
      <c r="D9" s="19"/>
      <c r="E9" s="21" t="s">
        <v>11</v>
      </c>
      <c r="F9" s="21"/>
      <c r="G9" s="19" t="s">
        <v>12</v>
      </c>
      <c r="H9" s="19"/>
      <c r="I9" s="19"/>
      <c r="J9" s="21" t="s">
        <v>13</v>
      </c>
      <c r="K9" s="21"/>
      <c r="L9" s="20"/>
    </row>
    <row r="10" spans="2:12">
      <c r="B10" s="19" t="s">
        <v>14</v>
      </c>
      <c r="C10" s="19"/>
      <c r="D10" s="19"/>
      <c r="E10" s="21" t="s">
        <v>15</v>
      </c>
      <c r="F10" s="21"/>
      <c r="G10" s="19" t="s">
        <v>12</v>
      </c>
      <c r="H10" s="19"/>
      <c r="I10" s="19"/>
      <c r="J10" s="21" t="s">
        <v>13</v>
      </c>
      <c r="K10" s="21"/>
      <c r="L10" s="20"/>
    </row>
    <row r="11" spans="2:12">
      <c r="B11" s="19" t="s">
        <v>16</v>
      </c>
      <c r="C11" s="19"/>
      <c r="D11" s="19"/>
      <c r="E11" s="21" t="s">
        <v>17</v>
      </c>
      <c r="F11" s="21"/>
      <c r="G11" s="19" t="s">
        <v>12</v>
      </c>
      <c r="H11" s="19"/>
      <c r="I11" s="19"/>
      <c r="J11" s="21" t="s">
        <v>13</v>
      </c>
      <c r="K11" s="21"/>
      <c r="L11" s="20"/>
    </row>
    <row r="12" ht="3.9" customHeight="1" spans="2:12"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2:12">
      <c r="B13" s="19" t="s">
        <v>18</v>
      </c>
      <c r="C13" s="19"/>
      <c r="D13" s="19"/>
      <c r="E13" s="23">
        <f>COUNTA('Test Cases测试用例'!$A$2:$A$400)</f>
        <v>15</v>
      </c>
      <c r="F13" s="20"/>
    </row>
    <row r="14" ht="3.9" customHeight="1" spans="2:12">
      <c r="B14" s="22"/>
      <c r="C14" s="22"/>
      <c r="D14" s="22"/>
      <c r="E14" s="22"/>
    </row>
    <row r="15" spans="2:12">
      <c r="B15" s="19" t="s">
        <v>19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ht="18.9" customHeight="1" spans="2:12">
      <c r="B16" s="24" t="s">
        <v>20</v>
      </c>
      <c r="C16" s="25"/>
      <c r="D16" s="21"/>
      <c r="E16" s="21"/>
      <c r="F16" s="21"/>
      <c r="G16" s="21"/>
      <c r="H16" s="21"/>
      <c r="I16" s="21"/>
      <c r="J16" s="21"/>
      <c r="K16" s="21"/>
      <c r="L16" s="20"/>
    </row>
    <row r="17" ht="3.9" customHeight="1" spans="2:12">
      <c r="B17" s="22"/>
      <c r="C17" s="22"/>
      <c r="D17" s="22"/>
      <c r="E17" s="22"/>
      <c r="F17" s="22"/>
      <c r="G17" s="22"/>
      <c r="H17" s="22"/>
      <c r="I17" s="22"/>
      <c r="J17" s="22"/>
      <c r="K17" s="22"/>
    </row>
    <row r="18" spans="2:12">
      <c r="B18" s="19" t="s">
        <v>21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ht="46.5" spans="2:12">
      <c r="B19" s="26" t="s">
        <v>22</v>
      </c>
      <c r="C19" s="26" t="s">
        <v>23</v>
      </c>
      <c r="D19" s="26" t="s">
        <v>24</v>
      </c>
      <c r="E19" s="27" t="s">
        <v>25</v>
      </c>
      <c r="F19" s="27"/>
      <c r="G19" s="27"/>
      <c r="H19" s="27"/>
      <c r="I19" s="27"/>
      <c r="J19" s="27"/>
      <c r="K19" s="26" t="s">
        <v>26</v>
      </c>
      <c r="L19" s="20"/>
    </row>
    <row r="20" spans="2:12">
      <c r="B20" s="28" t="s">
        <v>27</v>
      </c>
      <c r="C20" s="29" t="s">
        <v>28</v>
      </c>
      <c r="D20" s="21" t="s">
        <v>29</v>
      </c>
      <c r="E20" s="21" t="s">
        <v>30</v>
      </c>
      <c r="F20" s="21"/>
      <c r="G20" s="21"/>
      <c r="H20" s="21"/>
      <c r="I20" s="21"/>
      <c r="J20" s="21"/>
      <c r="K20" s="21" t="s">
        <v>31</v>
      </c>
      <c r="L20" s="20"/>
    </row>
    <row r="21" spans="2:12">
      <c r="B21" s="28" t="s">
        <v>27</v>
      </c>
      <c r="C21" s="29" t="s">
        <v>32</v>
      </c>
      <c r="D21" s="21" t="s">
        <v>33</v>
      </c>
      <c r="E21" s="21" t="s">
        <v>34</v>
      </c>
      <c r="F21" s="21"/>
      <c r="G21" s="21"/>
      <c r="H21" s="21"/>
      <c r="I21" s="21"/>
      <c r="J21" s="21"/>
      <c r="K21" s="21" t="s">
        <v>31</v>
      </c>
      <c r="L21" s="20"/>
    </row>
    <row r="22" spans="2:12">
      <c r="B22" s="28"/>
      <c r="C22" s="29"/>
      <c r="D22" s="21" t="s">
        <v>35</v>
      </c>
      <c r="E22" s="21" t="s">
        <v>36</v>
      </c>
      <c r="F22" s="21"/>
      <c r="G22" s="21"/>
      <c r="H22" s="21"/>
      <c r="I22" s="21"/>
      <c r="J22" s="21"/>
      <c r="K22" s="21" t="s">
        <v>37</v>
      </c>
      <c r="L22" s="20"/>
    </row>
    <row r="23" spans="2:12">
      <c r="B23" s="28" t="s">
        <v>38</v>
      </c>
      <c r="C23" s="29">
        <v>1.02</v>
      </c>
      <c r="D23" s="21" t="s">
        <v>35</v>
      </c>
      <c r="E23" s="21" t="s">
        <v>36</v>
      </c>
      <c r="F23" s="21"/>
      <c r="G23" s="21"/>
      <c r="H23" s="21"/>
      <c r="I23" s="21"/>
      <c r="J23" s="21"/>
      <c r="K23" s="21" t="s">
        <v>37</v>
      </c>
      <c r="L23" s="20"/>
    </row>
    <row r="24" spans="2:12">
      <c r="B24" s="28" t="s">
        <v>39</v>
      </c>
      <c r="C24" s="29" t="s">
        <v>39</v>
      </c>
      <c r="D24" s="30" t="s">
        <v>39</v>
      </c>
      <c r="E24" s="21" t="s">
        <v>39</v>
      </c>
      <c r="F24" s="21"/>
      <c r="G24" s="21"/>
      <c r="H24" s="21"/>
      <c r="I24" s="21"/>
      <c r="J24" s="21"/>
      <c r="K24" s="21" t="s">
        <v>37</v>
      </c>
      <c r="L24" s="20"/>
    </row>
    <row r="25" spans="2:12">
      <c r="B25" s="28" t="s">
        <v>38</v>
      </c>
      <c r="C25" s="29">
        <v>2</v>
      </c>
      <c r="D25" s="21" t="s">
        <v>35</v>
      </c>
      <c r="E25" s="21" t="s">
        <v>36</v>
      </c>
      <c r="F25" s="21"/>
      <c r="G25" s="21"/>
      <c r="H25" s="21"/>
      <c r="I25" s="21"/>
      <c r="J25" s="21"/>
      <c r="K25" s="21" t="s">
        <v>39</v>
      </c>
      <c r="L25" s="20"/>
    </row>
    <row r="26" ht="3.9" customHeight="1" spans="2:12"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 spans="2:12">
      <c r="B27" s="19" t="s">
        <v>40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2:12">
      <c r="B28" s="31" t="s">
        <v>41</v>
      </c>
      <c r="C28" s="19" t="s">
        <v>42</v>
      </c>
      <c r="D28" s="19"/>
      <c r="E28" s="19"/>
      <c r="F28" s="19"/>
      <c r="G28" s="19"/>
      <c r="H28" s="19"/>
      <c r="I28" s="19"/>
      <c r="J28" s="19" t="s">
        <v>43</v>
      </c>
      <c r="K28" s="19"/>
      <c r="L28" s="20"/>
    </row>
    <row r="29" spans="2:12">
      <c r="B29" s="21">
        <v>1</v>
      </c>
      <c r="C29" s="21" t="s">
        <v>44</v>
      </c>
      <c r="D29" s="21"/>
      <c r="E29" s="21"/>
      <c r="F29" s="21"/>
      <c r="G29" s="21"/>
      <c r="H29" s="21"/>
      <c r="I29" s="21"/>
      <c r="J29" s="28" t="s">
        <v>38</v>
      </c>
      <c r="K29" s="28"/>
      <c r="L29" s="20"/>
    </row>
    <row r="30" spans="2:12">
      <c r="B30" s="21">
        <v>2</v>
      </c>
      <c r="C30" s="21" t="s">
        <v>45</v>
      </c>
      <c r="D30" s="21"/>
      <c r="E30" s="21"/>
      <c r="F30" s="21"/>
      <c r="G30" s="21"/>
      <c r="H30" s="21"/>
      <c r="I30" s="21"/>
      <c r="J30" s="28" t="s">
        <v>38</v>
      </c>
      <c r="K30" s="28"/>
      <c r="L30" s="20"/>
    </row>
    <row r="31" spans="2:12">
      <c r="B31" s="21">
        <v>3</v>
      </c>
      <c r="C31" s="21" t="s">
        <v>46</v>
      </c>
      <c r="D31" s="21"/>
      <c r="E31" s="21"/>
      <c r="F31" s="21"/>
      <c r="G31" s="21"/>
      <c r="H31" s="21"/>
      <c r="I31" s="21"/>
      <c r="J31" s="28" t="s">
        <v>38</v>
      </c>
      <c r="K31" s="28"/>
      <c r="L31" s="20"/>
    </row>
    <row r="32" spans="2:12">
      <c r="B32" s="21">
        <v>4</v>
      </c>
      <c r="C32" s="21" t="s">
        <v>47</v>
      </c>
      <c r="D32" s="21"/>
      <c r="E32" s="21"/>
      <c r="F32" s="21"/>
      <c r="G32" s="21"/>
      <c r="H32" s="21"/>
      <c r="I32" s="21"/>
      <c r="J32" s="28" t="s">
        <v>38</v>
      </c>
      <c r="K32" s="28"/>
      <c r="L32" s="20"/>
    </row>
    <row r="33" spans="2:12">
      <c r="B33" s="32">
        <v>5</v>
      </c>
      <c r="C33" s="33" t="s">
        <v>48</v>
      </c>
      <c r="D33" s="33"/>
      <c r="E33" s="33"/>
      <c r="F33" s="33"/>
      <c r="G33" s="33"/>
      <c r="H33" s="33"/>
      <c r="I33" s="33"/>
      <c r="J33" s="34" t="s">
        <v>38</v>
      </c>
      <c r="K33" s="35"/>
      <c r="L33" s="14"/>
    </row>
    <row r="34" spans="2:12">
      <c r="B34" s="36"/>
      <c r="C34" s="36"/>
      <c r="D34" s="36"/>
      <c r="E34" s="36"/>
      <c r="F34" s="36"/>
      <c r="G34" s="36"/>
      <c r="H34" s="36"/>
      <c r="I34" s="36"/>
      <c r="J34" s="37"/>
      <c r="K34" s="37"/>
      <c r="L34" s="14"/>
    </row>
    <row r="35" spans="2:12"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7" ht="15" customHeight="1" spans="2:12">
      <c r="B37" s="38" t="s">
        <v>49</v>
      </c>
      <c r="C37" s="39"/>
      <c r="D37" s="39"/>
      <c r="E37" s="40"/>
    </row>
    <row r="38" spans="2:12">
      <c r="B38" s="41" t="s">
        <v>50</v>
      </c>
      <c r="C38" s="42">
        <f t="array" ref="C38">IF($E$13=0,0,COUNTIF('Test Cases测试用例'!$L:$L,"=OK"))</f>
        <v>13</v>
      </c>
      <c r="D38" s="41" t="s">
        <v>51</v>
      </c>
      <c r="E38" s="43">
        <f>IF(E13=0,0,C38/E13)</f>
        <v>0.866666666666667</v>
      </c>
    </row>
    <row r="39" spans="2:12">
      <c r="B39" s="41" t="s">
        <v>52</v>
      </c>
      <c r="C39" s="42">
        <f t="array" ref="C39">IF($E$13=0,0,COUNTIF('Test Cases测试用例'!$L:$L,"=POK"))</f>
        <v>0</v>
      </c>
      <c r="D39" s="41" t="s">
        <v>53</v>
      </c>
      <c r="E39" s="43">
        <f>IF(E13=0,0,C39/E13)</f>
        <v>0</v>
      </c>
    </row>
    <row r="40" spans="2:12">
      <c r="B40" s="41" t="s">
        <v>54</v>
      </c>
      <c r="C40" s="42">
        <f t="array" ref="C40">IF($E$13=0,0,COUNTIF('Test Cases测试用例'!$L:$L,"=NG"))</f>
        <v>2</v>
      </c>
      <c r="D40" s="41" t="s">
        <v>55</v>
      </c>
      <c r="E40" s="43">
        <f>IF(E13=0,0,C40/E13)</f>
        <v>0.133333333333333</v>
      </c>
    </row>
    <row r="41" spans="2:12">
      <c r="B41" s="44" t="s">
        <v>56</v>
      </c>
      <c r="C41" s="45">
        <f t="array" ref="C41">IF($E$13=0,0,COUNTIF('Test Cases测试用例'!$L:$L,"=NT"))</f>
        <v>0</v>
      </c>
      <c r="D41" s="44" t="s">
        <v>57</v>
      </c>
      <c r="E41" s="46">
        <f>IF(E13=0,0,C41/E13)</f>
        <v>0</v>
      </c>
    </row>
    <row r="42" ht="3" customHeight="1" spans="2:12">
      <c r="B42" s="47"/>
      <c r="C42" s="48"/>
      <c r="D42" s="49"/>
      <c r="E42" s="50"/>
    </row>
    <row r="43" spans="2:12">
      <c r="B43" s="51" t="s">
        <v>58</v>
      </c>
      <c r="C43" s="52">
        <f>E13</f>
        <v>15</v>
      </c>
      <c r="D43" s="53"/>
      <c r="E43" s="54"/>
    </row>
  </sheetData>
  <mergeCells count="2">
    <mergeCell ref="B37:E37"/>
    <mergeCell ref="C43:E43"/>
  </mergeCells>
  <pageMargins left="0.5" right="0.5" top="0.5" bottom="0.5" header="0" footer="0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Z200"/>
  <sheetViews>
    <sheetView showGridLines="0" tabSelected="1" zoomScale="87" zoomScaleNormal="87" topLeftCell="A8" workbookViewId="0">
      <selection activeCell="D2" sqref="D2"/>
    </sheetView>
  </sheetViews>
  <sheetFormatPr defaultColWidth="11.6307692307692" defaultRowHeight="15.5"/>
  <cols>
    <col min="1" max="1" width="15.3615384615385" style="8" customWidth="1"/>
    <col min="2" max="2" width="30.6692307692308" style="8" customWidth="1"/>
    <col min="3" max="3" width="31.6692307692308" style="8" customWidth="1"/>
    <col min="4" max="4" width="21" style="8" customWidth="1"/>
    <col min="5" max="5" width="13.9076923076923" style="8" hidden="1" customWidth="1"/>
    <col min="6" max="6" width="15.6692307692308" style="8" hidden="1" customWidth="1"/>
    <col min="7" max="7" width="43.6692307692308" style="8" customWidth="1"/>
    <col min="8" max="8" width="39.6692307692308" style="8" customWidth="1"/>
    <col min="9" max="9" width="43.6692307692308" style="8" customWidth="1"/>
    <col min="10" max="10" width="34.6692307692308" style="8" customWidth="1"/>
    <col min="11" max="11" width="47.6692307692308" style="8" customWidth="1"/>
    <col min="12" max="12" width="11" style="8" customWidth="1"/>
    <col min="13" max="13" width="26.6692307692308" style="8" customWidth="1"/>
    <col min="14" max="14" width="3.45384615384615" style="9" hidden="1" customWidth="1"/>
    <col min="15" max="26" width="11.6307692307692" style="9"/>
  </cols>
  <sheetData>
    <row r="1" ht="30" spans="1:26">
      <c r="A1" s="10" t="s">
        <v>59</v>
      </c>
      <c r="B1" s="10" t="s">
        <v>60</v>
      </c>
      <c r="C1" s="10" t="s">
        <v>61</v>
      </c>
      <c r="D1" s="10" t="s">
        <v>62</v>
      </c>
      <c r="E1" s="11" t="s">
        <v>63</v>
      </c>
      <c r="F1" s="11" t="s">
        <v>64</v>
      </c>
      <c r="G1" s="10" t="s">
        <v>65</v>
      </c>
      <c r="H1" s="10" t="s">
        <v>66</v>
      </c>
      <c r="I1" s="10" t="s">
        <v>67</v>
      </c>
      <c r="J1" s="10" t="s">
        <v>68</v>
      </c>
      <c r="K1" s="10" t="s">
        <v>69</v>
      </c>
      <c r="L1" s="10" t="s">
        <v>70</v>
      </c>
      <c r="M1" s="10" t="s">
        <v>71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83.25" customHeight="1" spans="1:26">
      <c r="A2" s="13" t="s">
        <v>72</v>
      </c>
      <c r="B2" s="13" t="s">
        <v>73</v>
      </c>
      <c r="C2" s="13" t="s">
        <v>74</v>
      </c>
      <c r="D2" s="13" t="s">
        <v>75</v>
      </c>
      <c r="E2" s="13" t="s">
        <v>76</v>
      </c>
      <c r="F2" s="13" t="s">
        <v>77</v>
      </c>
      <c r="G2" s="13" t="s">
        <v>78</v>
      </c>
      <c r="H2" s="13" t="s">
        <v>79</v>
      </c>
      <c r="I2" s="13" t="s">
        <v>80</v>
      </c>
      <c r="J2" s="13" t="s">
        <v>81</v>
      </c>
      <c r="K2" s="13" t="s">
        <v>82</v>
      </c>
      <c r="L2" s="13" t="s">
        <v>83</v>
      </c>
      <c r="M2" s="13" t="s">
        <v>84</v>
      </c>
      <c r="N2" s="14" t="s">
        <v>83</v>
      </c>
    </row>
    <row r="3" ht="49.5" customHeight="1" spans="1:26">
      <c r="A3" s="13" t="s">
        <v>85</v>
      </c>
      <c r="B3" s="13" t="s">
        <v>73</v>
      </c>
      <c r="C3" s="13" t="s">
        <v>86</v>
      </c>
      <c r="D3" s="13" t="s">
        <v>87</v>
      </c>
      <c r="E3" s="13" t="s">
        <v>76</v>
      </c>
      <c r="F3" s="13" t="s">
        <v>77</v>
      </c>
      <c r="G3" s="13" t="s">
        <v>78</v>
      </c>
      <c r="H3" s="13" t="s">
        <v>88</v>
      </c>
      <c r="I3" s="13" t="s">
        <v>89</v>
      </c>
      <c r="J3" s="13" t="s">
        <v>90</v>
      </c>
      <c r="K3" s="13" t="s">
        <v>91</v>
      </c>
      <c r="L3" s="13" t="s">
        <v>83</v>
      </c>
      <c r="M3" s="13" t="s">
        <v>92</v>
      </c>
      <c r="N3" s="14" t="s">
        <v>93</v>
      </c>
    </row>
    <row r="4" ht="49.5" customHeight="1" spans="1:26">
      <c r="A4" s="13" t="s">
        <v>94</v>
      </c>
      <c r="B4" s="13" t="s">
        <v>73</v>
      </c>
      <c r="C4" s="13" t="s">
        <v>95</v>
      </c>
      <c r="D4" s="15" t="s">
        <v>87</v>
      </c>
      <c r="E4" s="13" t="s">
        <v>76</v>
      </c>
      <c r="F4" s="13" t="s">
        <v>77</v>
      </c>
      <c r="G4" s="13" t="s">
        <v>78</v>
      </c>
      <c r="H4" s="13" t="s">
        <v>96</v>
      </c>
      <c r="I4" s="13" t="s">
        <v>97</v>
      </c>
      <c r="J4" s="13" t="s">
        <v>98</v>
      </c>
      <c r="K4" s="13" t="s">
        <v>99</v>
      </c>
      <c r="L4" s="13" t="s">
        <v>83</v>
      </c>
      <c r="M4" s="13" t="s">
        <v>92</v>
      </c>
      <c r="N4" s="14" t="s">
        <v>100</v>
      </c>
    </row>
    <row r="5" ht="49.5" customHeight="1" spans="1:26">
      <c r="A5" s="13" t="s">
        <v>101</v>
      </c>
      <c r="B5" s="13" t="s">
        <v>73</v>
      </c>
      <c r="C5" s="13" t="s">
        <v>102</v>
      </c>
      <c r="D5" s="13" t="s">
        <v>75</v>
      </c>
      <c r="E5" s="13" t="s">
        <v>76</v>
      </c>
      <c r="F5" s="13" t="s">
        <v>77</v>
      </c>
      <c r="G5" s="13" t="s">
        <v>78</v>
      </c>
      <c r="H5" s="13" t="s">
        <v>103</v>
      </c>
      <c r="I5" s="13" t="s">
        <v>104</v>
      </c>
      <c r="J5" s="13" t="s">
        <v>105</v>
      </c>
      <c r="K5" s="13" t="s">
        <v>106</v>
      </c>
      <c r="L5" s="13" t="s">
        <v>83</v>
      </c>
      <c r="M5" s="13" t="s">
        <v>107</v>
      </c>
      <c r="N5" s="14" t="s">
        <v>108</v>
      </c>
    </row>
    <row r="6" ht="49.5" customHeight="1" spans="1:26">
      <c r="A6" s="13" t="s">
        <v>109</v>
      </c>
      <c r="B6" s="13" t="s">
        <v>73</v>
      </c>
      <c r="C6" s="13" t="s">
        <v>110</v>
      </c>
      <c r="D6" s="13" t="s">
        <v>75</v>
      </c>
      <c r="E6" s="13" t="s">
        <v>76</v>
      </c>
      <c r="F6" s="13" t="s">
        <v>77</v>
      </c>
      <c r="G6" s="13" t="s">
        <v>78</v>
      </c>
      <c r="H6" s="13" t="s">
        <v>111</v>
      </c>
      <c r="I6" s="13" t="s">
        <v>112</v>
      </c>
      <c r="J6" s="13" t="s">
        <v>113</v>
      </c>
      <c r="K6" s="13" t="s">
        <v>114</v>
      </c>
      <c r="L6" s="13" t="s">
        <v>83</v>
      </c>
      <c r="M6" s="13" t="s">
        <v>115</v>
      </c>
      <c r="N6" s="14"/>
    </row>
    <row r="7" ht="49.5" customHeight="1" spans="1:26">
      <c r="A7" s="13" t="s">
        <v>116</v>
      </c>
      <c r="B7" s="13" t="s">
        <v>73</v>
      </c>
      <c r="C7" s="13" t="s">
        <v>117</v>
      </c>
      <c r="D7" s="13" t="s">
        <v>87</v>
      </c>
      <c r="E7" s="13" t="s">
        <v>76</v>
      </c>
      <c r="F7" s="13" t="s">
        <v>77</v>
      </c>
      <c r="G7" s="13" t="s">
        <v>78</v>
      </c>
      <c r="H7" s="13" t="s">
        <v>118</v>
      </c>
      <c r="I7" s="13" t="s">
        <v>119</v>
      </c>
      <c r="J7" s="13" t="s">
        <v>120</v>
      </c>
      <c r="K7" s="13" t="s">
        <v>121</v>
      </c>
      <c r="L7" s="13" t="s">
        <v>83</v>
      </c>
      <c r="M7" s="13" t="s">
        <v>122</v>
      </c>
      <c r="N7" s="14"/>
    </row>
    <row r="8" ht="49.5" customHeight="1" spans="1:26">
      <c r="A8" s="13" t="s">
        <v>123</v>
      </c>
      <c r="B8" s="13" t="s">
        <v>73</v>
      </c>
      <c r="C8" s="13" t="s">
        <v>124</v>
      </c>
      <c r="D8" s="13" t="s">
        <v>87</v>
      </c>
      <c r="E8" s="13" t="s">
        <v>76</v>
      </c>
      <c r="F8" s="13" t="s">
        <v>77</v>
      </c>
      <c r="G8" s="13" t="s">
        <v>78</v>
      </c>
      <c r="H8" s="13" t="s">
        <v>125</v>
      </c>
      <c r="I8" s="13" t="s">
        <v>126</v>
      </c>
      <c r="J8" s="13" t="s">
        <v>120</v>
      </c>
      <c r="K8" s="13" t="s">
        <v>127</v>
      </c>
      <c r="L8" s="13" t="s">
        <v>83</v>
      </c>
      <c r="M8" s="13" t="s">
        <v>128</v>
      </c>
      <c r="N8" s="14"/>
    </row>
    <row r="9" ht="49.5" customHeight="1" spans="1:26">
      <c r="A9" s="13" t="s">
        <v>129</v>
      </c>
      <c r="B9" s="13" t="s">
        <v>73</v>
      </c>
      <c r="C9" s="13" t="s">
        <v>130</v>
      </c>
      <c r="D9" s="13" t="s">
        <v>75</v>
      </c>
      <c r="E9" s="13" t="s">
        <v>76</v>
      </c>
      <c r="F9" s="13" t="s">
        <v>77</v>
      </c>
      <c r="G9" s="13" t="s">
        <v>78</v>
      </c>
      <c r="H9" s="13" t="s">
        <v>131</v>
      </c>
      <c r="I9" s="13" t="s">
        <v>132</v>
      </c>
      <c r="J9" s="13" t="s">
        <v>133</v>
      </c>
      <c r="K9" s="13" t="s">
        <v>134</v>
      </c>
      <c r="L9" s="13" t="s">
        <v>83</v>
      </c>
      <c r="M9" s="13" t="s">
        <v>135</v>
      </c>
      <c r="N9" s="14"/>
    </row>
    <row r="10" ht="38.25" customHeight="1" spans="1:26">
      <c r="A10" s="13" t="s">
        <v>136</v>
      </c>
      <c r="B10" s="13" t="s">
        <v>73</v>
      </c>
      <c r="C10" s="13" t="s">
        <v>137</v>
      </c>
      <c r="D10" s="13" t="s">
        <v>75</v>
      </c>
      <c r="E10" s="13" t="s">
        <v>76</v>
      </c>
      <c r="F10" s="13" t="s">
        <v>77</v>
      </c>
      <c r="G10" s="13" t="s">
        <v>138</v>
      </c>
      <c r="H10" s="13" t="s">
        <v>139</v>
      </c>
      <c r="I10" s="13" t="s">
        <v>140</v>
      </c>
      <c r="J10" s="13" t="s">
        <v>141</v>
      </c>
      <c r="K10" s="13" t="s">
        <v>142</v>
      </c>
      <c r="L10" s="13" t="s">
        <v>83</v>
      </c>
      <c r="M10" s="13" t="s">
        <v>143</v>
      </c>
      <c r="N10" s="14"/>
    </row>
    <row r="11" ht="60.75" customHeight="1" spans="1:26">
      <c r="A11" s="13" t="s">
        <v>144</v>
      </c>
      <c r="B11" s="13" t="s">
        <v>145</v>
      </c>
      <c r="C11" s="13" t="s">
        <v>146</v>
      </c>
      <c r="D11" s="13" t="s">
        <v>75</v>
      </c>
      <c r="E11" s="13" t="s">
        <v>76</v>
      </c>
      <c r="F11" s="13" t="s">
        <v>77</v>
      </c>
      <c r="G11" s="13" t="s">
        <v>147</v>
      </c>
      <c r="H11" s="13" t="s">
        <v>148</v>
      </c>
      <c r="I11" s="13" t="s">
        <v>149</v>
      </c>
      <c r="J11" s="13" t="s">
        <v>150</v>
      </c>
      <c r="K11" s="13" t="s">
        <v>151</v>
      </c>
      <c r="L11" s="13" t="s">
        <v>100</v>
      </c>
      <c r="M11" s="13" t="s">
        <v>152</v>
      </c>
      <c r="N11" s="14"/>
    </row>
    <row r="12" ht="38.25" customHeight="1" spans="1:26">
      <c r="A12" s="13" t="s">
        <v>153</v>
      </c>
      <c r="B12" s="13" t="s">
        <v>145</v>
      </c>
      <c r="C12" s="13" t="s">
        <v>154</v>
      </c>
      <c r="D12" s="13" t="s">
        <v>87</v>
      </c>
      <c r="E12" s="13" t="s">
        <v>76</v>
      </c>
      <c r="F12" s="13" t="s">
        <v>77</v>
      </c>
      <c r="G12" s="13" t="s">
        <v>155</v>
      </c>
      <c r="H12" s="13" t="s">
        <v>156</v>
      </c>
      <c r="I12" s="13" t="s">
        <v>157</v>
      </c>
      <c r="J12" s="13" t="s">
        <v>158</v>
      </c>
      <c r="K12" s="13" t="s">
        <v>159</v>
      </c>
      <c r="L12" s="13" t="s">
        <v>83</v>
      </c>
      <c r="M12" s="13" t="s">
        <v>160</v>
      </c>
      <c r="N12" s="14"/>
    </row>
    <row r="13" ht="60.75" customHeight="1" spans="1:26">
      <c r="A13" s="13" t="s">
        <v>161</v>
      </c>
      <c r="B13" s="13" t="s">
        <v>145</v>
      </c>
      <c r="C13" s="13" t="s">
        <v>162</v>
      </c>
      <c r="D13" s="13" t="s">
        <v>75</v>
      </c>
      <c r="E13" s="13" t="s">
        <v>76</v>
      </c>
      <c r="F13" s="13" t="s">
        <v>77</v>
      </c>
      <c r="G13" s="13" t="s">
        <v>163</v>
      </c>
      <c r="H13" s="13" t="s">
        <v>164</v>
      </c>
      <c r="I13" s="13" t="s">
        <v>165</v>
      </c>
      <c r="J13" s="13" t="s">
        <v>166</v>
      </c>
      <c r="K13" s="13" t="s">
        <v>167</v>
      </c>
      <c r="L13" s="13" t="s">
        <v>83</v>
      </c>
      <c r="M13" s="13" t="s">
        <v>168</v>
      </c>
      <c r="N13" s="14"/>
    </row>
    <row r="14" ht="49.5" customHeight="1" spans="1:26">
      <c r="A14" s="13" t="s">
        <v>169</v>
      </c>
      <c r="B14" s="13" t="s">
        <v>170</v>
      </c>
      <c r="C14" s="13" t="s">
        <v>171</v>
      </c>
      <c r="D14" s="13" t="s">
        <v>75</v>
      </c>
      <c r="E14" s="13" t="s">
        <v>76</v>
      </c>
      <c r="F14" s="13" t="s">
        <v>77</v>
      </c>
      <c r="G14" s="13" t="s">
        <v>172</v>
      </c>
      <c r="H14" s="13" t="s">
        <v>173</v>
      </c>
      <c r="I14" s="13" t="s">
        <v>174</v>
      </c>
      <c r="J14" s="13" t="s">
        <v>175</v>
      </c>
      <c r="K14" s="13" t="s">
        <v>176</v>
      </c>
      <c r="L14" s="13" t="s">
        <v>83</v>
      </c>
      <c r="M14" s="13" t="s">
        <v>177</v>
      </c>
      <c r="N14" s="14"/>
    </row>
    <row r="15" ht="38.25" customHeight="1" spans="1:26">
      <c r="A15" s="13" t="s">
        <v>178</v>
      </c>
      <c r="B15" s="13" t="s">
        <v>170</v>
      </c>
      <c r="C15" s="13" t="s">
        <v>179</v>
      </c>
      <c r="D15" s="13" t="s">
        <v>87</v>
      </c>
      <c r="E15" s="13" t="s">
        <v>76</v>
      </c>
      <c r="F15" s="13" t="s">
        <v>77</v>
      </c>
      <c r="G15" s="13" t="s">
        <v>172</v>
      </c>
      <c r="H15" s="13" t="s">
        <v>180</v>
      </c>
      <c r="I15" s="13" t="s">
        <v>181</v>
      </c>
      <c r="J15" s="13" t="s">
        <v>182</v>
      </c>
      <c r="K15" s="13" t="s">
        <v>183</v>
      </c>
      <c r="L15" s="13" t="s">
        <v>83</v>
      </c>
      <c r="M15" s="13" t="s">
        <v>177</v>
      </c>
      <c r="N15" s="14"/>
    </row>
    <row r="16" ht="60.75" customHeight="1" spans="1:26">
      <c r="A16" s="13" t="s">
        <v>184</v>
      </c>
      <c r="B16" s="13" t="s">
        <v>170</v>
      </c>
      <c r="C16" s="13" t="s">
        <v>185</v>
      </c>
      <c r="D16" s="13" t="s">
        <v>75</v>
      </c>
      <c r="E16" s="13" t="s">
        <v>76</v>
      </c>
      <c r="F16" s="13" t="s">
        <v>77</v>
      </c>
      <c r="G16" s="13" t="s">
        <v>172</v>
      </c>
      <c r="H16" s="13" t="s">
        <v>186</v>
      </c>
      <c r="I16" s="13" t="s">
        <v>187</v>
      </c>
      <c r="J16" s="13" t="s">
        <v>188</v>
      </c>
      <c r="K16" s="13" t="s">
        <v>189</v>
      </c>
      <c r="L16" s="13" t="s">
        <v>100</v>
      </c>
      <c r="M16" s="13" t="s">
        <v>177</v>
      </c>
      <c r="N16" s="14"/>
    </row>
    <row r="17" spans="1:14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4"/>
    </row>
    <row r="18" spans="1:14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4"/>
    </row>
    <row r="19" spans="1:14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</row>
    <row r="20" spans="1:14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4"/>
    </row>
    <row r="21" spans="1:14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4"/>
    </row>
    <row r="22" spans="1:14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</row>
    <row r="23" spans="1:14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4"/>
    </row>
    <row r="25" spans="1:14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</row>
    <row r="26" spans="1:14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/>
    </row>
    <row r="27" spans="1:14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4"/>
    </row>
    <row r="28" spans="1:14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4"/>
    </row>
    <row r="29" spans="1:14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</row>
    <row r="30" spans="1:14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4"/>
    </row>
    <row r="31" spans="1:14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</row>
    <row r="32" spans="1:14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4"/>
    </row>
    <row r="33" spans="1:14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</row>
    <row r="34" spans="1:1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4"/>
    </row>
    <row r="35" spans="1:14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4"/>
    </row>
    <row r="36" spans="1:14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4"/>
    </row>
    <row r="37" spans="1:14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</row>
    <row r="38" spans="1:14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4"/>
    </row>
    <row r="39" spans="1:14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</row>
    <row r="40" spans="1:14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4"/>
    </row>
    <row r="41" spans="1:14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4"/>
    </row>
    <row r="42" spans="1:14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4"/>
    </row>
    <row r="43" spans="1:14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  <row r="44" spans="1:1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4"/>
    </row>
    <row r="45" spans="1:14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</row>
    <row r="46" spans="1:14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4"/>
    </row>
    <row r="47" spans="1:14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1:14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4"/>
    </row>
    <row r="49" spans="1:14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</row>
    <row r="50" spans="1:1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4"/>
    </row>
    <row r="51" spans="1:14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</row>
    <row r="52" spans="1:14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4"/>
    </row>
    <row r="53" spans="1:14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</row>
    <row r="54" spans="1:1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4"/>
    </row>
    <row r="55" spans="1:14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4"/>
    </row>
    <row r="56" spans="1:14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4"/>
    </row>
    <row r="57" spans="1:14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4"/>
    </row>
    <row r="58" spans="1:14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4"/>
    </row>
    <row r="59" spans="1:14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4"/>
    </row>
    <row r="60" spans="1:14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4"/>
    </row>
    <row r="61" spans="1:14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4"/>
    </row>
    <row r="62" spans="1:14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4"/>
    </row>
    <row r="63" spans="1:14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4"/>
    </row>
    <row r="64" spans="1:1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4"/>
    </row>
    <row r="65" spans="1:14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4"/>
    </row>
    <row r="66" spans="1:14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4"/>
    </row>
    <row r="67" spans="1:14">
      <c r="L67" s="13"/>
    </row>
    <row r="68" spans="1:14">
      <c r="L68" s="13"/>
    </row>
    <row r="69" spans="1:14">
      <c r="L69" s="13"/>
    </row>
    <row r="70" spans="1:14">
      <c r="L70" s="13"/>
    </row>
    <row r="71" spans="1:14">
      <c r="L71" s="13"/>
    </row>
    <row r="72" spans="1:14">
      <c r="L72" s="13"/>
    </row>
    <row r="73" spans="1:14">
      <c r="L73" s="13"/>
    </row>
    <row r="74" spans="1:14">
      <c r="L74" s="13"/>
    </row>
    <row r="75" spans="1:14">
      <c r="L75" s="13"/>
    </row>
    <row r="76" spans="1:14">
      <c r="L76" s="13"/>
    </row>
    <row r="77" spans="1:14">
      <c r="L77" s="13"/>
    </row>
    <row r="78" spans="1:14">
      <c r="L78" s="13"/>
    </row>
    <row r="79" spans="1:14">
      <c r="L79" s="13"/>
    </row>
    <row r="80" spans="1:14">
      <c r="L80" s="13"/>
    </row>
    <row r="81" spans="12:12">
      <c r="L81" s="13"/>
    </row>
    <row r="82" spans="12:12">
      <c r="L82" s="13"/>
    </row>
    <row r="83" spans="12:12">
      <c r="L83" s="13"/>
    </row>
    <row r="84" spans="12:12">
      <c r="L84" s="13"/>
    </row>
    <row r="85" spans="12:12">
      <c r="L85" s="13"/>
    </row>
    <row r="86" spans="12:12">
      <c r="L86" s="13"/>
    </row>
    <row r="87" spans="12:12">
      <c r="L87" s="13"/>
    </row>
    <row r="88" spans="12:12">
      <c r="L88" s="13"/>
    </row>
    <row r="89" spans="12:12">
      <c r="L89" s="13"/>
    </row>
    <row r="90" spans="12:12">
      <c r="L90" s="13"/>
    </row>
    <row r="91" spans="12:12">
      <c r="L91" s="13"/>
    </row>
    <row r="92" spans="12:12">
      <c r="L92" s="13"/>
    </row>
    <row r="93" spans="12:12">
      <c r="L93" s="13"/>
    </row>
    <row r="94" spans="12:12">
      <c r="L94" s="13"/>
    </row>
    <row r="95" spans="12:12">
      <c r="L95" s="13"/>
    </row>
    <row r="96" spans="12:12">
      <c r="L96" s="13"/>
    </row>
    <row r="97" spans="12:12">
      <c r="L97" s="13"/>
    </row>
    <row r="98" spans="12:12">
      <c r="L98" s="13"/>
    </row>
    <row r="99" spans="12:12">
      <c r="L99" s="13"/>
    </row>
    <row r="100" spans="12:12">
      <c r="L100" s="13"/>
    </row>
    <row r="101" spans="12:12">
      <c r="L101" s="13"/>
    </row>
    <row r="102" spans="12:12">
      <c r="L102" s="13"/>
    </row>
    <row r="103" spans="12:12">
      <c r="L103" s="13"/>
    </row>
    <row r="104" spans="12:12">
      <c r="L104" s="13"/>
    </row>
    <row r="105" spans="12:12">
      <c r="L105" s="13"/>
    </row>
    <row r="106" spans="12:12">
      <c r="L106" s="13"/>
    </row>
    <row r="107" spans="12:12">
      <c r="L107" s="13"/>
    </row>
    <row r="108" spans="12:12">
      <c r="L108" s="13"/>
    </row>
    <row r="109" spans="12:12">
      <c r="L109" s="13"/>
    </row>
    <row r="110" spans="12:12">
      <c r="L110" s="13"/>
    </row>
    <row r="111" spans="12:12">
      <c r="L111" s="13"/>
    </row>
    <row r="112" spans="12:12">
      <c r="L112" s="13"/>
    </row>
    <row r="113" spans="12:12">
      <c r="L113" s="13"/>
    </row>
    <row r="114" spans="12:12">
      <c r="L114" s="13"/>
    </row>
    <row r="115" spans="12:12">
      <c r="L115" s="13"/>
    </row>
    <row r="116" spans="12:12">
      <c r="L116" s="13"/>
    </row>
    <row r="117" spans="12:12">
      <c r="L117" s="13"/>
    </row>
    <row r="118" spans="12:12">
      <c r="L118" s="13"/>
    </row>
    <row r="119" spans="12:12">
      <c r="L119" s="13"/>
    </row>
    <row r="120" spans="12:12">
      <c r="L120" s="13"/>
    </row>
    <row r="121" spans="12:12">
      <c r="L121" s="13"/>
    </row>
    <row r="122" spans="12:12">
      <c r="L122" s="13"/>
    </row>
    <row r="123" spans="12:12">
      <c r="L123" s="13"/>
    </row>
    <row r="124" spans="12:12">
      <c r="L124" s="13"/>
    </row>
    <row r="125" spans="12:12">
      <c r="L125" s="13"/>
    </row>
    <row r="126" spans="12:12">
      <c r="L126" s="13"/>
    </row>
    <row r="127" spans="12:12">
      <c r="L127" s="13"/>
    </row>
    <row r="128" spans="12:12">
      <c r="L128" s="13"/>
    </row>
    <row r="129" spans="12:12">
      <c r="L129" s="13"/>
    </row>
    <row r="130" spans="12:12">
      <c r="L130" s="13"/>
    </row>
    <row r="131" spans="12:12">
      <c r="L131" s="13"/>
    </row>
    <row r="132" spans="12:12">
      <c r="L132" s="13"/>
    </row>
    <row r="133" spans="12:12">
      <c r="L133" s="13"/>
    </row>
    <row r="134" spans="12:12">
      <c r="L134" s="13"/>
    </row>
    <row r="135" spans="12:12">
      <c r="L135" s="13"/>
    </row>
    <row r="136" spans="12:12">
      <c r="L136" s="13"/>
    </row>
    <row r="137" spans="12:12">
      <c r="L137" s="13"/>
    </row>
    <row r="138" spans="12:12">
      <c r="L138" s="13"/>
    </row>
    <row r="139" spans="12:12">
      <c r="L139" s="13"/>
    </row>
    <row r="140" spans="12:12">
      <c r="L140" s="13"/>
    </row>
    <row r="141" spans="12:12">
      <c r="L141" s="13"/>
    </row>
    <row r="142" spans="12:12">
      <c r="L142" s="13"/>
    </row>
    <row r="143" spans="12:12">
      <c r="L143" s="13"/>
    </row>
    <row r="144" spans="12:12">
      <c r="L144" s="13"/>
    </row>
    <row r="145" spans="12:12">
      <c r="L145" s="13"/>
    </row>
    <row r="146" spans="12:12">
      <c r="L146" s="13"/>
    </row>
    <row r="147" spans="12:12">
      <c r="L147" s="13"/>
    </row>
    <row r="148" spans="12:12">
      <c r="L148" s="13"/>
    </row>
    <row r="149" spans="12:12">
      <c r="L149" s="13"/>
    </row>
    <row r="150" spans="12:12">
      <c r="L150" s="13"/>
    </row>
    <row r="151" spans="12:12">
      <c r="L151" s="13"/>
    </row>
    <row r="152" spans="12:12">
      <c r="L152" s="13"/>
    </row>
    <row r="153" spans="12:12">
      <c r="L153" s="13"/>
    </row>
    <row r="154" spans="12:12">
      <c r="L154" s="13"/>
    </row>
    <row r="155" spans="12:12">
      <c r="L155" s="13"/>
    </row>
    <row r="156" spans="12:12">
      <c r="L156" s="13"/>
    </row>
    <row r="157" spans="12:12">
      <c r="L157" s="13"/>
    </row>
    <row r="158" spans="12:12">
      <c r="L158" s="13"/>
    </row>
    <row r="159" spans="12:12">
      <c r="L159" s="13"/>
    </row>
    <row r="160" spans="12:12">
      <c r="L160" s="13"/>
    </row>
    <row r="161" spans="12:12">
      <c r="L161" s="13"/>
    </row>
    <row r="162" spans="12:12">
      <c r="L162" s="13"/>
    </row>
    <row r="163" spans="12:12">
      <c r="L163" s="13"/>
    </row>
    <row r="164" spans="12:12">
      <c r="L164" s="13"/>
    </row>
    <row r="165" spans="12:12">
      <c r="L165" s="13"/>
    </row>
    <row r="166" spans="12:12">
      <c r="L166" s="13"/>
    </row>
    <row r="167" spans="12:12">
      <c r="L167" s="13"/>
    </row>
    <row r="168" spans="12:12">
      <c r="L168" s="13"/>
    </row>
    <row r="169" spans="12:12">
      <c r="L169" s="13"/>
    </row>
    <row r="170" spans="12:12">
      <c r="L170" s="13"/>
    </row>
    <row r="171" spans="12:12">
      <c r="L171" s="13"/>
    </row>
    <row r="172" spans="12:12">
      <c r="L172" s="13"/>
    </row>
    <row r="173" spans="12:12">
      <c r="L173" s="13"/>
    </row>
    <row r="174" spans="12:12">
      <c r="L174" s="13"/>
    </row>
    <row r="175" spans="12:12">
      <c r="L175" s="13"/>
    </row>
    <row r="176" spans="12:12">
      <c r="L176" s="13"/>
    </row>
    <row r="177" spans="12:12">
      <c r="L177" s="13"/>
    </row>
    <row r="178" spans="12:12">
      <c r="L178" s="13"/>
    </row>
    <row r="179" spans="12:12">
      <c r="L179" s="13"/>
    </row>
    <row r="180" spans="12:12">
      <c r="L180" s="13"/>
    </row>
    <row r="181" spans="12:12">
      <c r="L181" s="13"/>
    </row>
    <row r="182" spans="12:12">
      <c r="L182" s="13"/>
    </row>
    <row r="183" spans="12:12">
      <c r="L183" s="13"/>
    </row>
    <row r="184" spans="12:12">
      <c r="L184" s="13"/>
    </row>
    <row r="185" spans="12:12">
      <c r="L185" s="13"/>
    </row>
    <row r="186" spans="12:12">
      <c r="L186" s="13"/>
    </row>
    <row r="187" spans="12:12">
      <c r="L187" s="13"/>
    </row>
    <row r="188" spans="12:12">
      <c r="L188" s="13"/>
    </row>
    <row r="189" spans="12:12">
      <c r="L189" s="13"/>
    </row>
    <row r="190" spans="12:12">
      <c r="L190" s="13"/>
    </row>
    <row r="191" spans="12:12">
      <c r="L191" s="13"/>
    </row>
    <row r="192" spans="12:12">
      <c r="L192" s="13"/>
    </row>
    <row r="193" spans="12:12">
      <c r="L193" s="13"/>
    </row>
    <row r="194" spans="12:12">
      <c r="L194" s="13"/>
    </row>
    <row r="195" spans="12:12">
      <c r="L195" s="13"/>
    </row>
    <row r="196" spans="12:12">
      <c r="L196" s="13"/>
    </row>
    <row r="197" spans="12:12">
      <c r="L197" s="13"/>
    </row>
    <row r="198" spans="12:12">
      <c r="L198" s="13"/>
    </row>
    <row r="199" spans="12:12">
      <c r="L199" s="13"/>
    </row>
    <row r="200" spans="12:12">
      <c r="L200" s="13"/>
    </row>
  </sheetData>
  <sheetProtection formatCells="0"/>
  <dataValidations count="1">
    <dataValidation type="list" allowBlank="1" showInputMessage="1" showErrorMessage="1" sqref="L2:L200">
      <formula1>'Test Cases测试用例'!$N$2:$N$5</formula1>
    </dataValidation>
  </dataValidations>
  <pageMargins left="0.5" right="0.5" top="0.5" bottom="0.5" header="0" footer="0"/>
  <pageSetup paperSize="9" scale="85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showOutlineSymbols="0" zoomScale="87" zoomScaleNormal="87" workbookViewId="0">
      <selection activeCell="A1" sqref="A1"/>
    </sheetView>
  </sheetViews>
  <sheetFormatPr defaultColWidth="11.6307692307692" defaultRowHeight="15.5" outlineLevelCol="2"/>
  <cols>
    <col min="1" max="1" width="4.63076923076923" style="1" customWidth="1"/>
    <col min="2" max="2" width="67.6307692307692" style="1" customWidth="1"/>
    <col min="3" max="26" width="11.6307692307692" style="1"/>
  </cols>
  <sheetData>
    <row r="1" spans="1:3">
      <c r="A1" s="2" t="s">
        <v>190</v>
      </c>
      <c r="B1" s="2"/>
      <c r="C1" s="3"/>
    </row>
    <row r="2" ht="28" spans="1:3">
      <c r="A2" s="4">
        <v>1</v>
      </c>
      <c r="B2" s="5" t="s">
        <v>191</v>
      </c>
      <c r="C2" s="3"/>
    </row>
    <row r="3" spans="1:3">
      <c r="A3" s="4">
        <v>2</v>
      </c>
      <c r="B3" s="5" t="s">
        <v>192</v>
      </c>
      <c r="C3" s="3"/>
    </row>
    <row r="4" ht="42" spans="1:3">
      <c r="A4" s="4">
        <v>3</v>
      </c>
      <c r="B4" s="5" t="s">
        <v>193</v>
      </c>
      <c r="C4" s="3"/>
    </row>
    <row r="5" ht="28" spans="1:3">
      <c r="A5" s="4">
        <v>4</v>
      </c>
      <c r="B5" s="5" t="s">
        <v>194</v>
      </c>
      <c r="C5" s="3"/>
    </row>
    <row r="6" ht="33" customHeight="1" spans="1:3">
      <c r="A6" s="4">
        <v>5</v>
      </c>
      <c r="B6" s="5" t="s">
        <v>195</v>
      </c>
      <c r="C6" s="3"/>
    </row>
    <row r="7" ht="42" spans="1:3">
      <c r="A7" s="4">
        <v>6</v>
      </c>
      <c r="B7" s="5" t="s">
        <v>196</v>
      </c>
      <c r="C7" s="3"/>
    </row>
    <row r="8" ht="28" spans="1:3">
      <c r="A8" s="4">
        <v>7</v>
      </c>
      <c r="B8" s="5" t="s">
        <v>197</v>
      </c>
      <c r="C8" s="3"/>
    </row>
    <row r="9" ht="28" spans="1:3">
      <c r="A9" s="6">
        <v>8</v>
      </c>
      <c r="B9" s="7" t="s">
        <v>198</v>
      </c>
      <c r="C9" s="3"/>
    </row>
    <row r="10" ht="73.5" customHeight="1" spans="1:3">
      <c r="A10" s="6">
        <v>9</v>
      </c>
      <c r="B10" s="7" t="s">
        <v>199</v>
      </c>
    </row>
  </sheetData>
  <sheetProtection sheet="1" objects="1" scenarios="1"/>
  <pageMargins left="0.5" right="0.5" top="0.5" bottom="0.5" header="0" footer="0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GuoChen</cp:lastModifiedBy>
  <dcterms:created xsi:type="dcterms:W3CDTF">2026-09-11T10:40:00Z</dcterms:created>
  <dcterms:modified xsi:type="dcterms:W3CDTF">2026-09-11T02:42:03Z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741B34FAEE4C4062A77A69A86C04C8DC_12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